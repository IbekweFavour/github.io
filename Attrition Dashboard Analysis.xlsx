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a35fa6013c9b951/Documents/"/>
    </mc:Choice>
  </mc:AlternateContent>
  <xr:revisionPtr revIDLastSave="1499" documentId="8_{93978920-0E90-49E0-9A19-6D2CC28FD953}" xr6:coauthVersionLast="47" xr6:coauthVersionMax="47" xr10:uidLastSave="{F5808168-3D52-4008-87CE-26ACCC3F8B5D}"/>
  <bookViews>
    <workbookView xWindow="-108" yWindow="-108" windowWidth="23256" windowHeight="13176" xr2:uid="{C87A62E1-2B6A-4048-BE56-5922828C7957}"/>
  </bookViews>
  <sheets>
    <sheet name="DashBoard" sheetId="13" r:id="rId1"/>
    <sheet name="Satisfaction" sheetId="11" state="hidden" r:id="rId2"/>
    <sheet name="Salary" sheetId="12" state="hidden" r:id="rId3"/>
    <sheet name="KPI" sheetId="4" state="hidden" r:id="rId4"/>
    <sheet name="Attrition" sheetId="3" state="hidden" r:id="rId5"/>
    <sheet name="Sheet4" sheetId="5" state="hidden" r:id="rId6"/>
    <sheet name="Gender" sheetId="6" state="hidden" r:id="rId7"/>
    <sheet name="Dept" sheetId="7" state="hidden" r:id="rId8"/>
    <sheet name="Job Roles" sheetId="8" state="hidden" r:id="rId9"/>
    <sheet name="YOS" sheetId="9" state="hidden" r:id="rId10"/>
    <sheet name="Performance" sheetId="10" state="hidden" r:id="rId11"/>
    <sheet name="Data" sheetId="2" state="hidden" r:id="rId12"/>
    <sheet name="Sheet1" sheetId="1" state="hidden" r:id="rId13"/>
  </sheets>
  <definedNames>
    <definedName name="_xlcn.WorksheetConnection_Book1Data1" hidden="1">Data[]</definedName>
    <definedName name="ExternalData_1" localSheetId="11" hidden="1">Data!$A$1:$O$781</definedName>
    <definedName name="Slicer_Gender">#N/A</definedName>
    <definedName name="Slicer_Job_Role">#N/A</definedName>
  </definedNames>
  <calcPr calcId="191029"/>
  <pivotCaches>
    <pivotCache cacheId="21" r:id="rId14"/>
    <pivotCache cacheId="22" r:id="rId15"/>
    <pivotCache cacheId="23" r:id="rId16"/>
    <pivotCache cacheId="24" r:id="rId17"/>
    <pivotCache cacheId="25" r:id="rId18"/>
    <pivotCache cacheId="26" r:id="rId19"/>
    <pivotCache cacheId="27" r:id="rId20"/>
    <pivotCache cacheId="28" r:id="rId21"/>
    <pivotCache cacheId="29" r:id="rId22"/>
    <pivotCache cacheId="30" r:id="rId23"/>
    <pivotCache cacheId="31" r:id="rId24"/>
    <pivotCache cacheId="32" r:id="rId25"/>
    <pivotCache cacheId="33" r:id="rId26"/>
    <pivotCache cacheId="34" r:id="rId27"/>
    <pivotCache cacheId="35" r:id="rId28"/>
    <pivotCache cacheId="36" r:id="rId29"/>
    <pivotCache cacheId="37" r:id="rId30"/>
    <pivotCache cacheId="38" r:id="rId31"/>
    <pivotCache cacheId="39" r:id="rId32"/>
  </pivotCaches>
  <extLst>
    <ext xmlns:x14="http://schemas.microsoft.com/office/spreadsheetml/2009/9/main" uri="{876F7934-8845-4945-9796-88D515C7AA90}">
      <x14:pivotCaches>
        <pivotCache cacheId="40" r:id="rId33"/>
        <pivotCache cacheId="41" r:id="rId34"/>
      </x14:pivotCaches>
    </ext>
    <ext xmlns:x14="http://schemas.microsoft.com/office/spreadsheetml/2009/9/main" uri="{BBE1A952-AA13-448e-AADC-164F8A28A991}">
      <x14:slicerCaches>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1" l="1"/>
  <c r="B15" i="4"/>
  <c r="C15" i="4"/>
  <c r="D15" i="4"/>
  <c r="E15" i="4"/>
  <c r="F15" i="4"/>
  <c r="A15" i="4"/>
  <c r="G5" i="3"/>
  <c r="F5" i="3"/>
  <c r="G4" i="3"/>
  <c r="F4" i="3"/>
  <c r="E18" i="12"/>
  <c r="F18" i="12"/>
  <c r="E19" i="12"/>
  <c r="F19" i="12"/>
  <c r="E20" i="12"/>
  <c r="F20" i="12"/>
  <c r="F17" i="12"/>
  <c r="E17" i="12"/>
  <c r="E17" i="11"/>
  <c r="F17" i="11"/>
  <c r="E18" i="11"/>
  <c r="F18" i="11"/>
  <c r="E19" i="11"/>
  <c r="F19" i="11"/>
  <c r="E20" i="11"/>
  <c r="F16" i="11"/>
  <c r="E16" i="11"/>
  <c r="E17" i="10"/>
  <c r="F17" i="10"/>
  <c r="E18" i="10"/>
  <c r="F18" i="10"/>
  <c r="E19" i="10"/>
  <c r="F19" i="10"/>
  <c r="E20" i="10"/>
  <c r="F20" i="10"/>
  <c r="F16" i="10"/>
  <c r="E16" i="10"/>
  <c r="F25" i="9"/>
  <c r="E26" i="9"/>
  <c r="F26" i="9"/>
  <c r="E27" i="9"/>
  <c r="F27" i="9"/>
  <c r="E28" i="9"/>
  <c r="F28" i="9"/>
  <c r="E29" i="9"/>
  <c r="F29" i="9"/>
  <c r="E30" i="9"/>
  <c r="F30" i="9"/>
  <c r="E31" i="9"/>
  <c r="F31" i="9"/>
  <c r="E32" i="9"/>
  <c r="F32" i="9"/>
  <c r="E33" i="9"/>
  <c r="F33" i="9"/>
  <c r="E34" i="9"/>
  <c r="F34" i="9"/>
  <c r="E35" i="9"/>
  <c r="F35" i="9"/>
  <c r="E36" i="9"/>
  <c r="F36" i="9"/>
  <c r="E37" i="9"/>
  <c r="F37" i="9"/>
  <c r="E38" i="9"/>
  <c r="F38" i="9"/>
  <c r="E39" i="9"/>
  <c r="F39" i="9"/>
  <c r="E25" i="9"/>
  <c r="E17" i="8"/>
  <c r="F17" i="8"/>
  <c r="E18" i="8"/>
  <c r="F18" i="8"/>
  <c r="E19" i="8"/>
  <c r="E20" i="8"/>
  <c r="F20" i="8"/>
  <c r="E21" i="8"/>
  <c r="F21" i="8"/>
  <c r="F16" i="8"/>
  <c r="E16" i="8"/>
  <c r="E19" i="7"/>
  <c r="F19" i="7"/>
  <c r="E20" i="7"/>
  <c r="F20" i="7"/>
  <c r="E21" i="7"/>
  <c r="F21" i="7"/>
  <c r="E22" i="7"/>
  <c r="F22" i="7"/>
  <c r="E23" i="7"/>
  <c r="F23" i="7"/>
  <c r="F18" i="7"/>
  <c r="E18" i="7"/>
  <c r="E13" i="6"/>
  <c r="F13" i="6"/>
  <c r="F12" i="6"/>
  <c r="E12" i="6"/>
  <c r="E16" i="5"/>
  <c r="F16" i="5"/>
  <c r="E17" i="5"/>
  <c r="F17" i="5"/>
  <c r="E18" i="5"/>
  <c r="F18" i="5"/>
  <c r="E19" i="5"/>
  <c r="F19" i="5"/>
  <c r="F15" i="5"/>
  <c r="E15" i="5"/>
  <c r="G16" i="12" l="1"/>
  <c r="G18" i="12" s="1"/>
  <c r="G15" i="11"/>
  <c r="G17" i="11" s="1"/>
  <c r="F7" i="3"/>
  <c r="G15" i="10"/>
  <c r="G17" i="10" s="1"/>
  <c r="G19" i="12" l="1"/>
  <c r="G17" i="12"/>
  <c r="G20" i="12"/>
  <c r="G19" i="11"/>
  <c r="G18" i="11"/>
  <c r="G20" i="11"/>
  <c r="G16" i="11"/>
  <c r="G20" i="10"/>
  <c r="G18" i="10"/>
  <c r="G16" i="10"/>
  <c r="G19"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6BD788-11B4-4B01-87E8-1F01980251C1}"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ADC52A01-1668-4230-B324-F65D9AAED6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FD26692-5743-47B0-B858-B3123590002A}" name="WorksheetConnection_Book1!Data" type="102" refreshedVersion="8" minRefreshableVersion="5">
    <extLst>
      <ext xmlns:x15="http://schemas.microsoft.com/office/spreadsheetml/2010/11/main" uri="{DE250136-89BD-433C-8126-D09CA5730AF9}">
        <x15:connection id="Data" autoDelete="1">
          <x15:rangePr sourceName="_xlcn.WorksheetConnection_Book1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Attrition].&amp;[Yes]}"/>
  </metadataStrings>
  <mdxMetadata count="1">
    <mdx n="0" f="s">
      <ms ns="1" c="0"/>
    </mdx>
  </mdxMetadata>
  <valueMetadata count="1">
    <bk>
      <rc t="1" v="0"/>
    </bk>
  </valueMetadata>
</metadata>
</file>

<file path=xl/sharedStrings.xml><?xml version="1.0" encoding="utf-8"?>
<sst xmlns="http://schemas.openxmlformats.org/spreadsheetml/2006/main" count="7171" uniqueCount="839">
  <si>
    <t xml:space="preserve"> EmployeeID </t>
  </si>
  <si>
    <t xml:space="preserve"> Age </t>
  </si>
  <si>
    <t>Age Range</t>
  </si>
  <si>
    <t xml:space="preserve"> Gender  </t>
  </si>
  <si>
    <t xml:space="preserve"> Department </t>
  </si>
  <si>
    <t xml:space="preserve"> Job Role   </t>
  </si>
  <si>
    <t xml:space="preserve"> Years of Service </t>
  </si>
  <si>
    <t xml:space="preserve"> Performance Rating </t>
  </si>
  <si>
    <t>Performance Range</t>
  </si>
  <si>
    <t xml:space="preserve"> Satisfaction Score </t>
  </si>
  <si>
    <t xml:space="preserve"> Salary </t>
  </si>
  <si>
    <t>Salary Range</t>
  </si>
  <si>
    <t xml:space="preserve"> Attrition </t>
  </si>
  <si>
    <t>Attrition Count</t>
  </si>
  <si>
    <t xml:space="preserve"> 001        </t>
  </si>
  <si>
    <t>26-30 years</t>
  </si>
  <si>
    <t>Male</t>
  </si>
  <si>
    <t>SL</t>
  </si>
  <si>
    <t>Sales Rep</t>
  </si>
  <si>
    <t>Average</t>
  </si>
  <si>
    <t>Very Low</t>
  </si>
  <si>
    <t>No</t>
  </si>
  <si>
    <t xml:space="preserve"> 002        </t>
  </si>
  <si>
    <t>31-35 years</t>
  </si>
  <si>
    <t>Female</t>
  </si>
  <si>
    <t>MK</t>
  </si>
  <si>
    <t>Manager</t>
  </si>
  <si>
    <t>Above Average</t>
  </si>
  <si>
    <t>Satisfied</t>
  </si>
  <si>
    <t>Low</t>
  </si>
  <si>
    <t xml:space="preserve"> 003        </t>
  </si>
  <si>
    <t>IT</t>
  </si>
  <si>
    <t>Analyst</t>
  </si>
  <si>
    <t>Below Average</t>
  </si>
  <si>
    <t xml:space="preserve"> 004        </t>
  </si>
  <si>
    <t>41-45 years</t>
  </si>
  <si>
    <t>HR</t>
  </si>
  <si>
    <t>Specialist</t>
  </si>
  <si>
    <t>Good</t>
  </si>
  <si>
    <t>Yes</t>
  </si>
  <si>
    <t xml:space="preserve"> 005        </t>
  </si>
  <si>
    <t>EN</t>
  </si>
  <si>
    <t>Engineer</t>
  </si>
  <si>
    <t xml:space="preserve"> 006        </t>
  </si>
  <si>
    <t>36-40 years</t>
  </si>
  <si>
    <t>FN</t>
  </si>
  <si>
    <t>Accountant</t>
  </si>
  <si>
    <t xml:space="preserve"> 007        </t>
  </si>
  <si>
    <t>Dissatisfied</t>
  </si>
  <si>
    <t xml:space="preserve"> 008        </t>
  </si>
  <si>
    <t>Highly Satisfied</t>
  </si>
  <si>
    <t>Very High</t>
  </si>
  <si>
    <t xml:space="preserve"> 009        </t>
  </si>
  <si>
    <t xml:space="preserve"> 010        </t>
  </si>
  <si>
    <t xml:space="preserve"> 011        </t>
  </si>
  <si>
    <t xml:space="preserve"> 012        </t>
  </si>
  <si>
    <t xml:space="preserve"> 013        </t>
  </si>
  <si>
    <t xml:space="preserve"> 014        </t>
  </si>
  <si>
    <t xml:space="preserve"> 015        </t>
  </si>
  <si>
    <t xml:space="preserve"> 016        </t>
  </si>
  <si>
    <t xml:space="preserve"> 017        </t>
  </si>
  <si>
    <t xml:space="preserve"> 018        </t>
  </si>
  <si>
    <t xml:space="preserve"> 019        </t>
  </si>
  <si>
    <t xml:space="preserve"> 020        </t>
  </si>
  <si>
    <t xml:space="preserve"> 021        </t>
  </si>
  <si>
    <t xml:space="preserve"> 022        </t>
  </si>
  <si>
    <t>Highly Dissatisfied</t>
  </si>
  <si>
    <t xml:space="preserve"> 023        </t>
  </si>
  <si>
    <t xml:space="preserve"> 024        </t>
  </si>
  <si>
    <t xml:space="preserve"> 025        </t>
  </si>
  <si>
    <t xml:space="preserve"> 026        </t>
  </si>
  <si>
    <t xml:space="preserve"> 027        </t>
  </si>
  <si>
    <t xml:space="preserve"> 028        </t>
  </si>
  <si>
    <t xml:space="preserve"> 029        </t>
  </si>
  <si>
    <t xml:space="preserve"> 030        </t>
  </si>
  <si>
    <t>46-50 years</t>
  </si>
  <si>
    <t xml:space="preserve"> 031        </t>
  </si>
  <si>
    <t xml:space="preserve"> 032        </t>
  </si>
  <si>
    <t xml:space="preserve"> 033        </t>
  </si>
  <si>
    <t xml:space="preserve"> 034        </t>
  </si>
  <si>
    <t xml:space="preserve"> 035        </t>
  </si>
  <si>
    <t xml:space="preserve"> 036        </t>
  </si>
  <si>
    <t xml:space="preserve"> 037        </t>
  </si>
  <si>
    <t xml:space="preserve"> 038        </t>
  </si>
  <si>
    <t xml:space="preserve"> 039        </t>
  </si>
  <si>
    <t xml:space="preserve"> 040        </t>
  </si>
  <si>
    <t xml:space="preserve"> 041        </t>
  </si>
  <si>
    <t xml:space="preserve"> 042        </t>
  </si>
  <si>
    <t xml:space="preserve"> 043        </t>
  </si>
  <si>
    <t xml:space="preserve"> 044        </t>
  </si>
  <si>
    <t xml:space="preserve"> 045        </t>
  </si>
  <si>
    <t xml:space="preserve"> 046        </t>
  </si>
  <si>
    <t xml:space="preserve"> 047        </t>
  </si>
  <si>
    <t xml:space="preserve"> 048        </t>
  </si>
  <si>
    <t xml:space="preserve"> 049        </t>
  </si>
  <si>
    <t xml:space="preserve"> 050        </t>
  </si>
  <si>
    <t xml:space="preserve"> 051        </t>
  </si>
  <si>
    <t xml:space="preserve"> 052        </t>
  </si>
  <si>
    <t xml:space="preserve"> 053        </t>
  </si>
  <si>
    <t xml:space="preserve"> 054        </t>
  </si>
  <si>
    <t xml:space="preserve"> 055        </t>
  </si>
  <si>
    <t xml:space="preserve"> 056        </t>
  </si>
  <si>
    <t xml:space="preserve"> 057        </t>
  </si>
  <si>
    <t xml:space="preserve"> 058        </t>
  </si>
  <si>
    <t xml:space="preserve"> 059        </t>
  </si>
  <si>
    <t xml:space="preserve"> 060        </t>
  </si>
  <si>
    <t xml:space="preserve"> 061        </t>
  </si>
  <si>
    <t xml:space="preserve"> 062        </t>
  </si>
  <si>
    <t xml:space="preserve"> 063        </t>
  </si>
  <si>
    <t xml:space="preserve"> 064        </t>
  </si>
  <si>
    <t xml:space="preserve"> 065        </t>
  </si>
  <si>
    <t xml:space="preserve"> 066        </t>
  </si>
  <si>
    <t xml:space="preserve"> 067        </t>
  </si>
  <si>
    <t xml:space="preserve"> 068        </t>
  </si>
  <si>
    <t xml:space="preserve"> 069        </t>
  </si>
  <si>
    <t xml:space="preserve"> 070        </t>
  </si>
  <si>
    <t xml:space="preserve"> 071        </t>
  </si>
  <si>
    <t xml:space="preserve"> 072        </t>
  </si>
  <si>
    <t xml:space="preserve"> 073        </t>
  </si>
  <si>
    <t xml:space="preserve"> 074        </t>
  </si>
  <si>
    <t xml:space="preserve"> 075        </t>
  </si>
  <si>
    <t xml:space="preserve"> 076        </t>
  </si>
  <si>
    <t xml:space="preserve"> 077        </t>
  </si>
  <si>
    <t xml:space="preserve"> 078        </t>
  </si>
  <si>
    <t xml:space="preserve"> 079        </t>
  </si>
  <si>
    <t xml:space="preserve"> 080        </t>
  </si>
  <si>
    <t xml:space="preserve"> 081        </t>
  </si>
  <si>
    <t xml:space="preserve"> 082        </t>
  </si>
  <si>
    <t xml:space="preserve"> 083        </t>
  </si>
  <si>
    <t xml:space="preserve"> 084        </t>
  </si>
  <si>
    <t xml:space="preserve"> 085        </t>
  </si>
  <si>
    <t xml:space="preserve"> 086        </t>
  </si>
  <si>
    <t xml:space="preserve"> 087        </t>
  </si>
  <si>
    <t xml:space="preserve"> 088        </t>
  </si>
  <si>
    <t xml:space="preserve"> 089        </t>
  </si>
  <si>
    <t xml:space="preserve"> 090        </t>
  </si>
  <si>
    <t xml:space="preserve"> 091        </t>
  </si>
  <si>
    <t xml:space="preserve"> 092        </t>
  </si>
  <si>
    <t xml:space="preserve"> 093        </t>
  </si>
  <si>
    <t xml:space="preserve"> 094        </t>
  </si>
  <si>
    <t xml:space="preserve"> 095        </t>
  </si>
  <si>
    <t xml:space="preserve"> 096        </t>
  </si>
  <si>
    <t xml:space="preserve"> 097        </t>
  </si>
  <si>
    <t xml:space="preserve"> 098        </t>
  </si>
  <si>
    <t xml:space="preserve"> 099        </t>
  </si>
  <si>
    <t xml:space="preserve"> 100        </t>
  </si>
  <si>
    <t xml:space="preserve"> 101        </t>
  </si>
  <si>
    <t xml:space="preserve"> 102        </t>
  </si>
  <si>
    <t xml:space="preserve"> 103        </t>
  </si>
  <si>
    <t xml:space="preserve"> 104        </t>
  </si>
  <si>
    <t xml:space="preserve"> 105        </t>
  </si>
  <si>
    <t xml:space="preserve"> 106        </t>
  </si>
  <si>
    <t xml:space="preserve"> 107        </t>
  </si>
  <si>
    <t xml:space="preserve"> 108        </t>
  </si>
  <si>
    <t xml:space="preserve"> 109        </t>
  </si>
  <si>
    <t xml:space="preserve"> 110        </t>
  </si>
  <si>
    <t xml:space="preserve"> 111        </t>
  </si>
  <si>
    <t xml:space="preserve"> 112        </t>
  </si>
  <si>
    <t xml:space="preserve"> 113        </t>
  </si>
  <si>
    <t xml:space="preserve"> 114        </t>
  </si>
  <si>
    <t xml:space="preserve"> 115        </t>
  </si>
  <si>
    <t xml:space="preserve"> 116        </t>
  </si>
  <si>
    <t xml:space="preserve"> 117        </t>
  </si>
  <si>
    <t xml:space="preserve"> 118        </t>
  </si>
  <si>
    <t xml:space="preserve"> 119        </t>
  </si>
  <si>
    <t xml:space="preserve"> 120        </t>
  </si>
  <si>
    <t xml:space="preserve"> 121        </t>
  </si>
  <si>
    <t xml:space="preserve"> 122        </t>
  </si>
  <si>
    <t xml:space="preserve"> 123        </t>
  </si>
  <si>
    <t xml:space="preserve"> 124        </t>
  </si>
  <si>
    <t xml:space="preserve"> 125        </t>
  </si>
  <si>
    <t xml:space="preserve"> 126        </t>
  </si>
  <si>
    <t xml:space="preserve"> 127        </t>
  </si>
  <si>
    <t xml:space="preserve"> 128        </t>
  </si>
  <si>
    <t xml:space="preserve"> 129        </t>
  </si>
  <si>
    <t xml:space="preserve"> 130        </t>
  </si>
  <si>
    <t xml:space="preserve"> 131        </t>
  </si>
  <si>
    <t xml:space="preserve"> 132        </t>
  </si>
  <si>
    <t xml:space="preserve"> 133        </t>
  </si>
  <si>
    <t xml:space="preserve"> 134        </t>
  </si>
  <si>
    <t xml:space="preserve"> 135        </t>
  </si>
  <si>
    <t xml:space="preserve"> 136        </t>
  </si>
  <si>
    <t xml:space="preserve"> 137        </t>
  </si>
  <si>
    <t xml:space="preserve"> 138        </t>
  </si>
  <si>
    <t xml:space="preserve"> 139        </t>
  </si>
  <si>
    <t xml:space="preserve"> 140        </t>
  </si>
  <si>
    <t xml:space="preserve"> 141        </t>
  </si>
  <si>
    <t xml:space="preserve"> 142        </t>
  </si>
  <si>
    <t xml:space="preserve"> 143        </t>
  </si>
  <si>
    <t xml:space="preserve"> 144        </t>
  </si>
  <si>
    <t xml:space="preserve"> 145        </t>
  </si>
  <si>
    <t xml:space="preserve"> 146        </t>
  </si>
  <si>
    <t xml:space="preserve"> 147        </t>
  </si>
  <si>
    <t xml:space="preserve"> 148        </t>
  </si>
  <si>
    <t xml:space="preserve"> 149        </t>
  </si>
  <si>
    <t xml:space="preserve"> 150        </t>
  </si>
  <si>
    <t xml:space="preserve"> 151        </t>
  </si>
  <si>
    <t xml:space="preserve"> 152        </t>
  </si>
  <si>
    <t xml:space="preserve"> 153        </t>
  </si>
  <si>
    <t xml:space="preserve"> 154        </t>
  </si>
  <si>
    <t xml:space="preserve"> 155        </t>
  </si>
  <si>
    <t xml:space="preserve"> 156        </t>
  </si>
  <si>
    <t xml:space="preserve"> 157        </t>
  </si>
  <si>
    <t xml:space="preserve"> 158        </t>
  </si>
  <si>
    <t xml:space="preserve"> 159        </t>
  </si>
  <si>
    <t xml:space="preserve"> 160        </t>
  </si>
  <si>
    <t xml:space="preserve"> 161        </t>
  </si>
  <si>
    <t xml:space="preserve"> 162        </t>
  </si>
  <si>
    <t xml:space="preserve"> 163        </t>
  </si>
  <si>
    <t xml:space="preserve"> 164        </t>
  </si>
  <si>
    <t xml:space="preserve"> 165        </t>
  </si>
  <si>
    <t xml:space="preserve"> 166        </t>
  </si>
  <si>
    <t xml:space="preserve"> 167        </t>
  </si>
  <si>
    <t xml:space="preserve"> 168        </t>
  </si>
  <si>
    <t xml:space="preserve"> 169        </t>
  </si>
  <si>
    <t xml:space="preserve"> 170        </t>
  </si>
  <si>
    <t xml:space="preserve"> 171        </t>
  </si>
  <si>
    <t xml:space="preserve"> 172        </t>
  </si>
  <si>
    <t xml:space="preserve"> 173        </t>
  </si>
  <si>
    <t xml:space="preserve"> 174        </t>
  </si>
  <si>
    <t xml:space="preserve"> 175        </t>
  </si>
  <si>
    <t xml:space="preserve"> 176        </t>
  </si>
  <si>
    <t xml:space="preserve"> 177        </t>
  </si>
  <si>
    <t xml:space="preserve"> 178        </t>
  </si>
  <si>
    <t xml:space="preserve"> 179        </t>
  </si>
  <si>
    <t xml:space="preserve"> 180        </t>
  </si>
  <si>
    <t xml:space="preserve"> 181        </t>
  </si>
  <si>
    <t xml:space="preserve"> 182        </t>
  </si>
  <si>
    <t xml:space="preserve"> 183        </t>
  </si>
  <si>
    <t xml:space="preserve"> 184        </t>
  </si>
  <si>
    <t xml:space="preserve"> 185        </t>
  </si>
  <si>
    <t xml:space="preserve"> 186        </t>
  </si>
  <si>
    <t xml:space="preserve"> 187        </t>
  </si>
  <si>
    <t xml:space="preserve"> 188        </t>
  </si>
  <si>
    <t xml:space="preserve"> 189        </t>
  </si>
  <si>
    <t xml:space="preserve"> 190        </t>
  </si>
  <si>
    <t xml:space="preserve"> 191        </t>
  </si>
  <si>
    <t xml:space="preserve"> 192        </t>
  </si>
  <si>
    <t xml:space="preserve"> 193        </t>
  </si>
  <si>
    <t xml:space="preserve"> 194        </t>
  </si>
  <si>
    <t xml:space="preserve"> 195        </t>
  </si>
  <si>
    <t xml:space="preserve"> 196        </t>
  </si>
  <si>
    <t xml:space="preserve"> 197        </t>
  </si>
  <si>
    <t xml:space="preserve"> 198        </t>
  </si>
  <si>
    <t xml:space="preserve"> 199        </t>
  </si>
  <si>
    <t xml:space="preserve"> 200        </t>
  </si>
  <si>
    <t xml:space="preserve"> 201        </t>
  </si>
  <si>
    <t xml:space="preserve"> 202        </t>
  </si>
  <si>
    <t xml:space="preserve"> 203        </t>
  </si>
  <si>
    <t xml:space="preserve"> 204        </t>
  </si>
  <si>
    <t xml:space="preserve"> 205        </t>
  </si>
  <si>
    <t xml:space="preserve"> 206        </t>
  </si>
  <si>
    <t xml:space="preserve"> 207        </t>
  </si>
  <si>
    <t xml:space="preserve"> 208        </t>
  </si>
  <si>
    <t xml:space="preserve"> 209        </t>
  </si>
  <si>
    <t xml:space="preserve"> 210        </t>
  </si>
  <si>
    <t xml:space="preserve"> 211        </t>
  </si>
  <si>
    <t xml:space="preserve"> 212        </t>
  </si>
  <si>
    <t xml:space="preserve"> 213        </t>
  </si>
  <si>
    <t xml:space="preserve"> 214        </t>
  </si>
  <si>
    <t xml:space="preserve"> 215        </t>
  </si>
  <si>
    <t xml:space="preserve"> 216        </t>
  </si>
  <si>
    <t xml:space="preserve"> 217        </t>
  </si>
  <si>
    <t xml:space="preserve"> 218        </t>
  </si>
  <si>
    <t xml:space="preserve"> 219        </t>
  </si>
  <si>
    <t xml:space="preserve"> 220        </t>
  </si>
  <si>
    <t xml:space="preserve"> 221        </t>
  </si>
  <si>
    <t xml:space="preserve"> 222        </t>
  </si>
  <si>
    <t xml:space="preserve"> 223        </t>
  </si>
  <si>
    <t xml:space="preserve"> 224        </t>
  </si>
  <si>
    <t xml:space="preserve"> 225        </t>
  </si>
  <si>
    <t xml:space="preserve"> 226        </t>
  </si>
  <si>
    <t xml:space="preserve"> 227        </t>
  </si>
  <si>
    <t xml:space="preserve"> 228        </t>
  </si>
  <si>
    <t xml:space="preserve"> 229        </t>
  </si>
  <si>
    <t xml:space="preserve"> 230        </t>
  </si>
  <si>
    <t xml:space="preserve"> 231        </t>
  </si>
  <si>
    <t xml:space="preserve"> 232        </t>
  </si>
  <si>
    <t xml:space="preserve"> 233        </t>
  </si>
  <si>
    <t xml:space="preserve"> 234        </t>
  </si>
  <si>
    <t xml:space="preserve"> 235        </t>
  </si>
  <si>
    <t xml:space="preserve"> 236        </t>
  </si>
  <si>
    <t xml:space="preserve"> 237        </t>
  </si>
  <si>
    <t xml:space="preserve"> 238        </t>
  </si>
  <si>
    <t xml:space="preserve"> 239        </t>
  </si>
  <si>
    <t xml:space="preserve"> 240        </t>
  </si>
  <si>
    <t xml:space="preserve"> 241        </t>
  </si>
  <si>
    <t xml:space="preserve"> 242        </t>
  </si>
  <si>
    <t xml:space="preserve"> 243        </t>
  </si>
  <si>
    <t xml:space="preserve"> 244        </t>
  </si>
  <si>
    <t xml:space="preserve"> 245        </t>
  </si>
  <si>
    <t xml:space="preserve"> 246        </t>
  </si>
  <si>
    <t xml:space="preserve"> 247        </t>
  </si>
  <si>
    <t xml:space="preserve"> 248        </t>
  </si>
  <si>
    <t xml:space="preserve"> 249        </t>
  </si>
  <si>
    <t xml:space="preserve"> 250        </t>
  </si>
  <si>
    <t xml:space="preserve"> 251        </t>
  </si>
  <si>
    <t xml:space="preserve"> 252        </t>
  </si>
  <si>
    <t xml:space="preserve"> 253        </t>
  </si>
  <si>
    <t xml:space="preserve"> 254        </t>
  </si>
  <si>
    <t xml:space="preserve"> 255        </t>
  </si>
  <si>
    <t xml:space="preserve"> 256        </t>
  </si>
  <si>
    <t xml:space="preserve"> 257        </t>
  </si>
  <si>
    <t xml:space="preserve"> 258        </t>
  </si>
  <si>
    <t xml:space="preserve"> 259        </t>
  </si>
  <si>
    <t xml:space="preserve"> 260        </t>
  </si>
  <si>
    <t xml:space="preserve"> 261        </t>
  </si>
  <si>
    <t xml:space="preserve"> 262        </t>
  </si>
  <si>
    <t xml:space="preserve"> 263        </t>
  </si>
  <si>
    <t xml:space="preserve"> 264        </t>
  </si>
  <si>
    <t xml:space="preserve"> 265        </t>
  </si>
  <si>
    <t xml:space="preserve"> 266        </t>
  </si>
  <si>
    <t xml:space="preserve"> 267        </t>
  </si>
  <si>
    <t xml:space="preserve"> 268        </t>
  </si>
  <si>
    <t xml:space="preserve"> 269        </t>
  </si>
  <si>
    <t xml:space="preserve"> 270        </t>
  </si>
  <si>
    <t xml:space="preserve"> 271        </t>
  </si>
  <si>
    <t xml:space="preserve"> 272        </t>
  </si>
  <si>
    <t xml:space="preserve"> 273        </t>
  </si>
  <si>
    <t xml:space="preserve"> 274        </t>
  </si>
  <si>
    <t xml:space="preserve"> 275        </t>
  </si>
  <si>
    <t xml:space="preserve"> 276        </t>
  </si>
  <si>
    <t xml:space="preserve"> 277        </t>
  </si>
  <si>
    <t xml:space="preserve"> 278        </t>
  </si>
  <si>
    <t xml:space="preserve"> 279        </t>
  </si>
  <si>
    <t xml:space="preserve"> 280        </t>
  </si>
  <si>
    <t xml:space="preserve"> 281        </t>
  </si>
  <si>
    <t xml:space="preserve"> 282        </t>
  </si>
  <si>
    <t xml:space="preserve"> 283        </t>
  </si>
  <si>
    <t xml:space="preserve"> 284        </t>
  </si>
  <si>
    <t xml:space="preserve"> 285        </t>
  </si>
  <si>
    <t xml:space="preserve"> 286        </t>
  </si>
  <si>
    <t xml:space="preserve"> 287        </t>
  </si>
  <si>
    <t xml:space="preserve"> 288        </t>
  </si>
  <si>
    <t xml:space="preserve"> 289        </t>
  </si>
  <si>
    <t xml:space="preserve"> 290        </t>
  </si>
  <si>
    <t xml:space="preserve"> 291        </t>
  </si>
  <si>
    <t xml:space="preserve"> 292        </t>
  </si>
  <si>
    <t xml:space="preserve"> 293        </t>
  </si>
  <si>
    <t xml:space="preserve"> 294        </t>
  </si>
  <si>
    <t xml:space="preserve"> 295        </t>
  </si>
  <si>
    <t xml:space="preserve"> 296        </t>
  </si>
  <si>
    <t xml:space="preserve"> 297        </t>
  </si>
  <si>
    <t xml:space="preserve"> 298        </t>
  </si>
  <si>
    <t xml:space="preserve"> 299        </t>
  </si>
  <si>
    <t xml:space="preserve"> 300        </t>
  </si>
  <si>
    <t xml:space="preserve"> 301        </t>
  </si>
  <si>
    <t xml:space="preserve"> 302        </t>
  </si>
  <si>
    <t xml:space="preserve"> 303        </t>
  </si>
  <si>
    <t xml:space="preserve"> 304        </t>
  </si>
  <si>
    <t xml:space="preserve"> 305        </t>
  </si>
  <si>
    <t xml:space="preserve"> 306        </t>
  </si>
  <si>
    <t xml:space="preserve"> 307        </t>
  </si>
  <si>
    <t xml:space="preserve"> 308        </t>
  </si>
  <si>
    <t xml:space="preserve"> 309        </t>
  </si>
  <si>
    <t xml:space="preserve"> 310        </t>
  </si>
  <si>
    <t xml:space="preserve"> 311        </t>
  </si>
  <si>
    <t xml:space="preserve"> 312        </t>
  </si>
  <si>
    <t xml:space="preserve"> 313        </t>
  </si>
  <si>
    <t xml:space="preserve"> 314        </t>
  </si>
  <si>
    <t xml:space="preserve"> 315        </t>
  </si>
  <si>
    <t xml:space="preserve"> 316        </t>
  </si>
  <si>
    <t xml:space="preserve"> 317        </t>
  </si>
  <si>
    <t xml:space="preserve"> 318        </t>
  </si>
  <si>
    <t xml:space="preserve"> 319        </t>
  </si>
  <si>
    <t xml:space="preserve"> 320        </t>
  </si>
  <si>
    <t xml:space="preserve"> 321        </t>
  </si>
  <si>
    <t xml:space="preserve"> 322        </t>
  </si>
  <si>
    <t xml:space="preserve"> 323        </t>
  </si>
  <si>
    <t xml:space="preserve"> 324        </t>
  </si>
  <si>
    <t xml:space="preserve"> 325        </t>
  </si>
  <si>
    <t xml:space="preserve"> 326        </t>
  </si>
  <si>
    <t xml:space="preserve"> 327        </t>
  </si>
  <si>
    <t xml:space="preserve"> 328        </t>
  </si>
  <si>
    <t xml:space="preserve"> 329        </t>
  </si>
  <si>
    <t xml:space="preserve"> 330        </t>
  </si>
  <si>
    <t xml:space="preserve"> 331        </t>
  </si>
  <si>
    <t xml:space="preserve"> 332        </t>
  </si>
  <si>
    <t xml:space="preserve"> 333        </t>
  </si>
  <si>
    <t xml:space="preserve"> 334        </t>
  </si>
  <si>
    <t xml:space="preserve"> 335        </t>
  </si>
  <si>
    <t>Poor</t>
  </si>
  <si>
    <t xml:space="preserve"> 336        </t>
  </si>
  <si>
    <t xml:space="preserve"> 337        </t>
  </si>
  <si>
    <t xml:space="preserve"> 338        </t>
  </si>
  <si>
    <t xml:space="preserve"> 339        </t>
  </si>
  <si>
    <t xml:space="preserve"> 340        </t>
  </si>
  <si>
    <t xml:space="preserve"> 341        </t>
  </si>
  <si>
    <t xml:space="preserve"> 342        </t>
  </si>
  <si>
    <t xml:space="preserve"> 343        </t>
  </si>
  <si>
    <t xml:space="preserve"> 344        </t>
  </si>
  <si>
    <t xml:space="preserve"> 345        </t>
  </si>
  <si>
    <t xml:space="preserve"> 346        </t>
  </si>
  <si>
    <t xml:space="preserve"> 347        </t>
  </si>
  <si>
    <t xml:space="preserve"> 348        </t>
  </si>
  <si>
    <t xml:space="preserve"> 349        </t>
  </si>
  <si>
    <t xml:space="preserve"> 350        </t>
  </si>
  <si>
    <t xml:space="preserve"> 351        </t>
  </si>
  <si>
    <t xml:space="preserve"> 352        </t>
  </si>
  <si>
    <t xml:space="preserve"> 353        </t>
  </si>
  <si>
    <t xml:space="preserve"> 354        </t>
  </si>
  <si>
    <t xml:space="preserve"> 355        </t>
  </si>
  <si>
    <t xml:space="preserve"> 356        </t>
  </si>
  <si>
    <t xml:space="preserve"> 357        </t>
  </si>
  <si>
    <t xml:space="preserve"> 358        </t>
  </si>
  <si>
    <t xml:space="preserve"> 359        </t>
  </si>
  <si>
    <t xml:space="preserve"> 360        </t>
  </si>
  <si>
    <t xml:space="preserve"> 361        </t>
  </si>
  <si>
    <t xml:space="preserve"> 362        </t>
  </si>
  <si>
    <t xml:space="preserve"> 363        </t>
  </si>
  <si>
    <t xml:space="preserve"> 364        </t>
  </si>
  <si>
    <t xml:space="preserve"> 365        </t>
  </si>
  <si>
    <t xml:space="preserve"> 366        </t>
  </si>
  <si>
    <t xml:space="preserve"> 367        </t>
  </si>
  <si>
    <t xml:space="preserve"> 368        </t>
  </si>
  <si>
    <t xml:space="preserve"> 369        </t>
  </si>
  <si>
    <t xml:space="preserve"> 370        </t>
  </si>
  <si>
    <t xml:space="preserve"> 371        </t>
  </si>
  <si>
    <t xml:space="preserve"> 372        </t>
  </si>
  <si>
    <t xml:space="preserve"> 373        </t>
  </si>
  <si>
    <t xml:space="preserve"> 374        </t>
  </si>
  <si>
    <t xml:space="preserve"> 375        </t>
  </si>
  <si>
    <t xml:space="preserve"> 376        </t>
  </si>
  <si>
    <t xml:space="preserve"> 377        </t>
  </si>
  <si>
    <t xml:space="preserve"> 378        </t>
  </si>
  <si>
    <t xml:space="preserve"> 379        </t>
  </si>
  <si>
    <t xml:space="preserve"> 380        </t>
  </si>
  <si>
    <t xml:space="preserve"> 381        </t>
  </si>
  <si>
    <t xml:space="preserve"> 382        </t>
  </si>
  <si>
    <t xml:space="preserve"> 383        </t>
  </si>
  <si>
    <t xml:space="preserve"> 384        </t>
  </si>
  <si>
    <t xml:space="preserve"> 385        </t>
  </si>
  <si>
    <t xml:space="preserve"> 386        </t>
  </si>
  <si>
    <t xml:space="preserve"> 387        </t>
  </si>
  <si>
    <t xml:space="preserve"> 388        </t>
  </si>
  <si>
    <t xml:space="preserve"> 389        </t>
  </si>
  <si>
    <t xml:space="preserve"> 390        </t>
  </si>
  <si>
    <t xml:space="preserve"> 391        </t>
  </si>
  <si>
    <t xml:space="preserve"> 392        </t>
  </si>
  <si>
    <t xml:space="preserve"> 393        </t>
  </si>
  <si>
    <t xml:space="preserve"> 394        </t>
  </si>
  <si>
    <t xml:space="preserve"> 395        </t>
  </si>
  <si>
    <t xml:space="preserve"> 396        </t>
  </si>
  <si>
    <t xml:space="preserve"> 397        </t>
  </si>
  <si>
    <t xml:space="preserve"> 398        </t>
  </si>
  <si>
    <t xml:space="preserve"> 399        </t>
  </si>
  <si>
    <t xml:space="preserve"> 400        </t>
  </si>
  <si>
    <t xml:space="preserve"> 401        </t>
  </si>
  <si>
    <t xml:space="preserve"> 402        </t>
  </si>
  <si>
    <t xml:space="preserve"> 403        </t>
  </si>
  <si>
    <t xml:space="preserve"> 404        </t>
  </si>
  <si>
    <t xml:space="preserve"> 405        </t>
  </si>
  <si>
    <t xml:space="preserve"> 406        </t>
  </si>
  <si>
    <t xml:space="preserve"> 407        </t>
  </si>
  <si>
    <t xml:space="preserve"> 408        </t>
  </si>
  <si>
    <t xml:space="preserve"> 409        </t>
  </si>
  <si>
    <t xml:space="preserve"> 410        </t>
  </si>
  <si>
    <t xml:space="preserve"> 411        </t>
  </si>
  <si>
    <t xml:space="preserve"> 412        </t>
  </si>
  <si>
    <t xml:space="preserve"> 413        </t>
  </si>
  <si>
    <t xml:space="preserve"> 414        </t>
  </si>
  <si>
    <t xml:space="preserve"> 415        </t>
  </si>
  <si>
    <t xml:space="preserve"> 416        </t>
  </si>
  <si>
    <t xml:space="preserve"> 417        </t>
  </si>
  <si>
    <t xml:space="preserve"> 418        </t>
  </si>
  <si>
    <t xml:space="preserve"> 419        </t>
  </si>
  <si>
    <t xml:space="preserve"> 420        </t>
  </si>
  <si>
    <t xml:space="preserve"> 421        </t>
  </si>
  <si>
    <t xml:space="preserve"> 422        </t>
  </si>
  <si>
    <t xml:space="preserve"> 423        </t>
  </si>
  <si>
    <t xml:space="preserve"> 424        </t>
  </si>
  <si>
    <t xml:space="preserve"> 425        </t>
  </si>
  <si>
    <t xml:space="preserve"> 426        </t>
  </si>
  <si>
    <t xml:space="preserve"> 427        </t>
  </si>
  <si>
    <t xml:space="preserve"> 428        </t>
  </si>
  <si>
    <t xml:space="preserve"> 429        </t>
  </si>
  <si>
    <t xml:space="preserve"> 430        </t>
  </si>
  <si>
    <t xml:space="preserve"> 431        </t>
  </si>
  <si>
    <t xml:space="preserve"> 432        </t>
  </si>
  <si>
    <t xml:space="preserve"> 433        </t>
  </si>
  <si>
    <t xml:space="preserve"> 434        </t>
  </si>
  <si>
    <t xml:space="preserve"> 435        </t>
  </si>
  <si>
    <t xml:space="preserve"> 436        </t>
  </si>
  <si>
    <t xml:space="preserve"> 437        </t>
  </si>
  <si>
    <t xml:space="preserve"> 438        </t>
  </si>
  <si>
    <t xml:space="preserve"> 439        </t>
  </si>
  <si>
    <t xml:space="preserve"> 440        </t>
  </si>
  <si>
    <t xml:space="preserve"> 441        </t>
  </si>
  <si>
    <t xml:space="preserve"> 442        </t>
  </si>
  <si>
    <t xml:space="preserve"> 443        </t>
  </si>
  <si>
    <t xml:space="preserve"> 444        </t>
  </si>
  <si>
    <t xml:space="preserve"> 445        </t>
  </si>
  <si>
    <t xml:space="preserve"> 446        </t>
  </si>
  <si>
    <t xml:space="preserve"> 447        </t>
  </si>
  <si>
    <t xml:space="preserve"> 448        </t>
  </si>
  <si>
    <t xml:space="preserve"> 449        </t>
  </si>
  <si>
    <t xml:space="preserve"> 450        </t>
  </si>
  <si>
    <t xml:space="preserve"> 451        </t>
  </si>
  <si>
    <t xml:space="preserve"> 452        </t>
  </si>
  <si>
    <t xml:space="preserve"> 453        </t>
  </si>
  <si>
    <t xml:space="preserve"> 454        </t>
  </si>
  <si>
    <t xml:space="preserve"> 455        </t>
  </si>
  <si>
    <t xml:space="preserve"> 456        </t>
  </si>
  <si>
    <t xml:space="preserve"> 457        </t>
  </si>
  <si>
    <t xml:space="preserve"> 458        </t>
  </si>
  <si>
    <t xml:space="preserve"> 459        </t>
  </si>
  <si>
    <t xml:space="preserve"> 460        </t>
  </si>
  <si>
    <t xml:space="preserve"> 461        </t>
  </si>
  <si>
    <t xml:space="preserve"> 462        </t>
  </si>
  <si>
    <t xml:space="preserve"> 463        </t>
  </si>
  <si>
    <t xml:space="preserve"> 464        </t>
  </si>
  <si>
    <t xml:space="preserve"> 465        </t>
  </si>
  <si>
    <t xml:space="preserve"> 466        </t>
  </si>
  <si>
    <t xml:space="preserve"> 467        </t>
  </si>
  <si>
    <t xml:space="preserve"> 468        </t>
  </si>
  <si>
    <t xml:space="preserve"> 469        </t>
  </si>
  <si>
    <t xml:space="preserve"> 470        </t>
  </si>
  <si>
    <t xml:space="preserve"> 471        </t>
  </si>
  <si>
    <t xml:space="preserve"> 472        </t>
  </si>
  <si>
    <t xml:space="preserve"> 473        </t>
  </si>
  <si>
    <t xml:space="preserve"> 474        </t>
  </si>
  <si>
    <t xml:space="preserve"> 475        </t>
  </si>
  <si>
    <t xml:space="preserve"> 476        </t>
  </si>
  <si>
    <t xml:space="preserve"> 477        </t>
  </si>
  <si>
    <t xml:space="preserve"> 478        </t>
  </si>
  <si>
    <t xml:space="preserve"> 479        </t>
  </si>
  <si>
    <t xml:space="preserve"> 480        </t>
  </si>
  <si>
    <t xml:space="preserve"> 481        </t>
  </si>
  <si>
    <t xml:space="preserve"> 482        </t>
  </si>
  <si>
    <t xml:space="preserve"> 483        </t>
  </si>
  <si>
    <t xml:space="preserve"> 484        </t>
  </si>
  <si>
    <t xml:space="preserve"> 485        </t>
  </si>
  <si>
    <t xml:space="preserve"> 486        </t>
  </si>
  <si>
    <t xml:space="preserve"> 487        </t>
  </si>
  <si>
    <t xml:space="preserve"> 488        </t>
  </si>
  <si>
    <t xml:space="preserve"> 489        </t>
  </si>
  <si>
    <t xml:space="preserve"> 490        </t>
  </si>
  <si>
    <t xml:space="preserve"> 491        </t>
  </si>
  <si>
    <t xml:space="preserve"> 492        </t>
  </si>
  <si>
    <t xml:space="preserve"> 493        </t>
  </si>
  <si>
    <t xml:space="preserve"> 494        </t>
  </si>
  <si>
    <t xml:space="preserve"> 495        </t>
  </si>
  <si>
    <t xml:space="preserve"> 496        </t>
  </si>
  <si>
    <t xml:space="preserve"> 497        </t>
  </si>
  <si>
    <t xml:space="preserve"> 498        </t>
  </si>
  <si>
    <t xml:space="preserve"> 499        </t>
  </si>
  <si>
    <t xml:space="preserve"> 500        </t>
  </si>
  <si>
    <t xml:space="preserve"> 501        </t>
  </si>
  <si>
    <t xml:space="preserve"> 502        </t>
  </si>
  <si>
    <t xml:space="preserve"> 503        </t>
  </si>
  <si>
    <t xml:space="preserve"> 504        </t>
  </si>
  <si>
    <t xml:space="preserve"> 505        </t>
  </si>
  <si>
    <t xml:space="preserve"> 506        </t>
  </si>
  <si>
    <t xml:space="preserve"> 507        </t>
  </si>
  <si>
    <t xml:space="preserve"> 508        </t>
  </si>
  <si>
    <t xml:space="preserve"> 509        </t>
  </si>
  <si>
    <t xml:space="preserve"> 510        </t>
  </si>
  <si>
    <t xml:space="preserve"> 511        </t>
  </si>
  <si>
    <t xml:space="preserve"> 512        </t>
  </si>
  <si>
    <t xml:space="preserve"> 513        </t>
  </si>
  <si>
    <t xml:space="preserve"> 514        </t>
  </si>
  <si>
    <t xml:space="preserve"> 515        </t>
  </si>
  <si>
    <t xml:space="preserve"> 516        </t>
  </si>
  <si>
    <t xml:space="preserve"> 517        </t>
  </si>
  <si>
    <t xml:space="preserve"> 518        </t>
  </si>
  <si>
    <t xml:space="preserve"> 519        </t>
  </si>
  <si>
    <t xml:space="preserve"> 520        </t>
  </si>
  <si>
    <t xml:space="preserve"> 521        </t>
  </si>
  <si>
    <t xml:space="preserve"> 522        </t>
  </si>
  <si>
    <t xml:space="preserve"> 523        </t>
  </si>
  <si>
    <t xml:space="preserve"> 524        </t>
  </si>
  <si>
    <t xml:space="preserve"> 525        </t>
  </si>
  <si>
    <t xml:space="preserve"> 526        </t>
  </si>
  <si>
    <t xml:space="preserve"> 527        </t>
  </si>
  <si>
    <t xml:space="preserve"> 528        </t>
  </si>
  <si>
    <t xml:space="preserve"> 529        </t>
  </si>
  <si>
    <t xml:space="preserve"> 530        </t>
  </si>
  <si>
    <t xml:space="preserve"> 531        </t>
  </si>
  <si>
    <t xml:space="preserve"> 532        </t>
  </si>
  <si>
    <t xml:space="preserve"> 533        </t>
  </si>
  <si>
    <t xml:space="preserve"> 534        </t>
  </si>
  <si>
    <t xml:space="preserve"> 535        </t>
  </si>
  <si>
    <t xml:space="preserve"> 536        </t>
  </si>
  <si>
    <t xml:space="preserve"> 537        </t>
  </si>
  <si>
    <t xml:space="preserve"> 538        </t>
  </si>
  <si>
    <t xml:space="preserve"> 539        </t>
  </si>
  <si>
    <t xml:space="preserve"> 540        </t>
  </si>
  <si>
    <t xml:space="preserve"> 541        </t>
  </si>
  <si>
    <t xml:space="preserve"> 542        </t>
  </si>
  <si>
    <t xml:space="preserve"> 543        </t>
  </si>
  <si>
    <t xml:space="preserve"> 544        </t>
  </si>
  <si>
    <t xml:space="preserve"> 545        </t>
  </si>
  <si>
    <t xml:space="preserve"> 546        </t>
  </si>
  <si>
    <t xml:space="preserve"> 547        </t>
  </si>
  <si>
    <t xml:space="preserve"> 548        </t>
  </si>
  <si>
    <t xml:space="preserve"> 549        </t>
  </si>
  <si>
    <t xml:space="preserve"> 550        </t>
  </si>
  <si>
    <t xml:space="preserve"> 551        </t>
  </si>
  <si>
    <t xml:space="preserve"> 552        </t>
  </si>
  <si>
    <t xml:space="preserve"> 553        </t>
  </si>
  <si>
    <t xml:space="preserve"> 554        </t>
  </si>
  <si>
    <t xml:space="preserve"> 555        </t>
  </si>
  <si>
    <t xml:space="preserve"> 556        </t>
  </si>
  <si>
    <t xml:space="preserve"> 557        </t>
  </si>
  <si>
    <t xml:space="preserve"> 558        </t>
  </si>
  <si>
    <t xml:space="preserve"> 559        </t>
  </si>
  <si>
    <t xml:space="preserve"> 560        </t>
  </si>
  <si>
    <t xml:space="preserve"> 561        </t>
  </si>
  <si>
    <t xml:space="preserve"> 562        </t>
  </si>
  <si>
    <t xml:space="preserve"> 563        </t>
  </si>
  <si>
    <t xml:space="preserve"> 564        </t>
  </si>
  <si>
    <t xml:space="preserve"> 565        </t>
  </si>
  <si>
    <t xml:space="preserve"> 566        </t>
  </si>
  <si>
    <t xml:space="preserve"> 567        </t>
  </si>
  <si>
    <t xml:space="preserve"> 568        </t>
  </si>
  <si>
    <t xml:space="preserve"> 569        </t>
  </si>
  <si>
    <t xml:space="preserve"> 570        </t>
  </si>
  <si>
    <t xml:space="preserve"> 571        </t>
  </si>
  <si>
    <t xml:space="preserve"> 572        </t>
  </si>
  <si>
    <t xml:space="preserve"> 573        </t>
  </si>
  <si>
    <t xml:space="preserve"> 574        </t>
  </si>
  <si>
    <t xml:space="preserve"> 575        </t>
  </si>
  <si>
    <t xml:space="preserve"> 576        </t>
  </si>
  <si>
    <t xml:space="preserve"> 577        </t>
  </si>
  <si>
    <t xml:space="preserve"> 578        </t>
  </si>
  <si>
    <t xml:space="preserve"> 579        </t>
  </si>
  <si>
    <t xml:space="preserve"> 580        </t>
  </si>
  <si>
    <t xml:space="preserve"> 581        </t>
  </si>
  <si>
    <t xml:space="preserve"> 582        </t>
  </si>
  <si>
    <t xml:space="preserve"> 583        </t>
  </si>
  <si>
    <t xml:space="preserve"> 584        </t>
  </si>
  <si>
    <t xml:space="preserve"> 585        </t>
  </si>
  <si>
    <t xml:space="preserve"> 586        </t>
  </si>
  <si>
    <t xml:space="preserve"> 587        </t>
  </si>
  <si>
    <t xml:space="preserve"> 588        </t>
  </si>
  <si>
    <t xml:space="preserve"> 589        </t>
  </si>
  <si>
    <t xml:space="preserve"> 590        </t>
  </si>
  <si>
    <t xml:space="preserve"> 591        </t>
  </si>
  <si>
    <t xml:space="preserve"> 592        </t>
  </si>
  <si>
    <t xml:space="preserve"> 593        </t>
  </si>
  <si>
    <t xml:space="preserve"> 594        </t>
  </si>
  <si>
    <t xml:space="preserve"> 595        </t>
  </si>
  <si>
    <t xml:space="preserve"> 596        </t>
  </si>
  <si>
    <t xml:space="preserve"> 597        </t>
  </si>
  <si>
    <t xml:space="preserve"> 598        </t>
  </si>
  <si>
    <t xml:space="preserve"> 599        </t>
  </si>
  <si>
    <t xml:space="preserve"> 600        </t>
  </si>
  <si>
    <t xml:space="preserve"> 601        </t>
  </si>
  <si>
    <t xml:space="preserve"> 602        </t>
  </si>
  <si>
    <t xml:space="preserve"> 603        </t>
  </si>
  <si>
    <t xml:space="preserve"> 604        </t>
  </si>
  <si>
    <t xml:space="preserve"> 605        </t>
  </si>
  <si>
    <t xml:space="preserve"> 606        </t>
  </si>
  <si>
    <t xml:space="preserve"> 607        </t>
  </si>
  <si>
    <t xml:space="preserve"> 608        </t>
  </si>
  <si>
    <t xml:space="preserve"> 609        </t>
  </si>
  <si>
    <t xml:space="preserve"> 610        </t>
  </si>
  <si>
    <t xml:space="preserve"> 611        </t>
  </si>
  <si>
    <t xml:space="preserve"> 612        </t>
  </si>
  <si>
    <t xml:space="preserve"> 613        </t>
  </si>
  <si>
    <t xml:space="preserve"> 614        </t>
  </si>
  <si>
    <t xml:space="preserve"> 615        </t>
  </si>
  <si>
    <t xml:space="preserve"> 616        </t>
  </si>
  <si>
    <t xml:space="preserve"> 617        </t>
  </si>
  <si>
    <t xml:space="preserve"> 618        </t>
  </si>
  <si>
    <t xml:space="preserve"> 619        </t>
  </si>
  <si>
    <t xml:space="preserve"> 620        </t>
  </si>
  <si>
    <t xml:space="preserve"> 621        </t>
  </si>
  <si>
    <t xml:space="preserve"> 622        </t>
  </si>
  <si>
    <t xml:space="preserve"> 623        </t>
  </si>
  <si>
    <t xml:space="preserve"> 624        </t>
  </si>
  <si>
    <t xml:space="preserve"> 625        </t>
  </si>
  <si>
    <t xml:space="preserve"> 626        </t>
  </si>
  <si>
    <t xml:space="preserve"> 627        </t>
  </si>
  <si>
    <t xml:space="preserve"> 628        </t>
  </si>
  <si>
    <t xml:space="preserve"> 629        </t>
  </si>
  <si>
    <t xml:space="preserve"> 630        </t>
  </si>
  <si>
    <t xml:space="preserve"> 631        </t>
  </si>
  <si>
    <t xml:space="preserve"> 632        </t>
  </si>
  <si>
    <t xml:space="preserve"> 633        </t>
  </si>
  <si>
    <t xml:space="preserve"> 634        </t>
  </si>
  <si>
    <t xml:space="preserve"> 635        </t>
  </si>
  <si>
    <t xml:space="preserve"> 636        </t>
  </si>
  <si>
    <t xml:space="preserve"> 637        </t>
  </si>
  <si>
    <t xml:space="preserve"> 638        </t>
  </si>
  <si>
    <t xml:space="preserve"> 639        </t>
  </si>
  <si>
    <t xml:space="preserve"> 640        </t>
  </si>
  <si>
    <t xml:space="preserve"> 641        </t>
  </si>
  <si>
    <t xml:space="preserve"> 642        </t>
  </si>
  <si>
    <t xml:space="preserve"> 643        </t>
  </si>
  <si>
    <t xml:space="preserve"> 644        </t>
  </si>
  <si>
    <t xml:space="preserve"> 645        </t>
  </si>
  <si>
    <t xml:space="preserve"> 646        </t>
  </si>
  <si>
    <t xml:space="preserve"> 647        </t>
  </si>
  <si>
    <t xml:space="preserve"> 648        </t>
  </si>
  <si>
    <t xml:space="preserve"> 649        </t>
  </si>
  <si>
    <t xml:space="preserve"> 650        </t>
  </si>
  <si>
    <t xml:space="preserve"> 651        </t>
  </si>
  <si>
    <t xml:space="preserve"> 652        </t>
  </si>
  <si>
    <t xml:space="preserve"> 653        </t>
  </si>
  <si>
    <t xml:space="preserve"> 654        </t>
  </si>
  <si>
    <t xml:space="preserve"> 655        </t>
  </si>
  <si>
    <t xml:space="preserve"> 656        </t>
  </si>
  <si>
    <t xml:space="preserve"> 657        </t>
  </si>
  <si>
    <t xml:space="preserve"> 658        </t>
  </si>
  <si>
    <t xml:space="preserve"> 659        </t>
  </si>
  <si>
    <t xml:space="preserve"> 660        </t>
  </si>
  <si>
    <t xml:space="preserve"> 661        </t>
  </si>
  <si>
    <t xml:space="preserve"> 662        </t>
  </si>
  <si>
    <t xml:space="preserve"> 663        </t>
  </si>
  <si>
    <t xml:space="preserve"> 664        </t>
  </si>
  <si>
    <t xml:space="preserve"> 665        </t>
  </si>
  <si>
    <t xml:space="preserve"> 666        </t>
  </si>
  <si>
    <t xml:space="preserve"> 667        </t>
  </si>
  <si>
    <t xml:space="preserve"> 668        </t>
  </si>
  <si>
    <t xml:space="preserve"> 669        </t>
  </si>
  <si>
    <t xml:space="preserve"> 670        </t>
  </si>
  <si>
    <t xml:space="preserve"> 671        </t>
  </si>
  <si>
    <t xml:space="preserve"> 672        </t>
  </si>
  <si>
    <t xml:space="preserve"> 673        </t>
  </si>
  <si>
    <t xml:space="preserve"> 674        </t>
  </si>
  <si>
    <t xml:space="preserve"> 675        </t>
  </si>
  <si>
    <t xml:space="preserve"> 676        </t>
  </si>
  <si>
    <t xml:space="preserve"> 677        </t>
  </si>
  <si>
    <t xml:space="preserve"> 678        </t>
  </si>
  <si>
    <t xml:space="preserve"> 679        </t>
  </si>
  <si>
    <t xml:space="preserve"> 680        </t>
  </si>
  <si>
    <t xml:space="preserve"> 681        </t>
  </si>
  <si>
    <t xml:space="preserve"> 682        </t>
  </si>
  <si>
    <t xml:space="preserve"> 683        </t>
  </si>
  <si>
    <t xml:space="preserve"> 684        </t>
  </si>
  <si>
    <t xml:space="preserve"> 685        </t>
  </si>
  <si>
    <t xml:space="preserve"> 686        </t>
  </si>
  <si>
    <t xml:space="preserve"> 687        </t>
  </si>
  <si>
    <t xml:space="preserve"> 688        </t>
  </si>
  <si>
    <t xml:space="preserve"> 689        </t>
  </si>
  <si>
    <t xml:space="preserve"> 690        </t>
  </si>
  <si>
    <t xml:space="preserve"> 691        </t>
  </si>
  <si>
    <t xml:space="preserve"> 692        </t>
  </si>
  <si>
    <t xml:space="preserve"> 693        </t>
  </si>
  <si>
    <t xml:space="preserve"> 694        </t>
  </si>
  <si>
    <t xml:space="preserve"> 695        </t>
  </si>
  <si>
    <t xml:space="preserve"> 696        </t>
  </si>
  <si>
    <t xml:space="preserve"> 697        </t>
  </si>
  <si>
    <t xml:space="preserve"> 698        </t>
  </si>
  <si>
    <t xml:space="preserve"> 699        </t>
  </si>
  <si>
    <t xml:space="preserve"> 700        </t>
  </si>
  <si>
    <t xml:space="preserve"> 701        </t>
  </si>
  <si>
    <t xml:space="preserve"> 702        </t>
  </si>
  <si>
    <t xml:space="preserve"> 703        </t>
  </si>
  <si>
    <t xml:space="preserve"> 704        </t>
  </si>
  <si>
    <t xml:space="preserve"> 705        </t>
  </si>
  <si>
    <t xml:space="preserve"> 706        </t>
  </si>
  <si>
    <t xml:space="preserve"> 707        </t>
  </si>
  <si>
    <t xml:space="preserve"> 708        </t>
  </si>
  <si>
    <t xml:space="preserve"> 709        </t>
  </si>
  <si>
    <t xml:space="preserve"> 710        </t>
  </si>
  <si>
    <t xml:space="preserve"> 711        </t>
  </si>
  <si>
    <t xml:space="preserve"> 712        </t>
  </si>
  <si>
    <t xml:space="preserve"> 713        </t>
  </si>
  <si>
    <t xml:space="preserve"> 714        </t>
  </si>
  <si>
    <t xml:space="preserve"> 715        </t>
  </si>
  <si>
    <t xml:space="preserve"> 716        </t>
  </si>
  <si>
    <t xml:space="preserve"> 717        </t>
  </si>
  <si>
    <t xml:space="preserve"> 718        </t>
  </si>
  <si>
    <t xml:space="preserve"> 719        </t>
  </si>
  <si>
    <t xml:space="preserve"> 720        </t>
  </si>
  <si>
    <t xml:space="preserve"> 721        </t>
  </si>
  <si>
    <t xml:space="preserve"> 722        </t>
  </si>
  <si>
    <t xml:space="preserve"> 723        </t>
  </si>
  <si>
    <t xml:space="preserve"> 724        </t>
  </si>
  <si>
    <t xml:space="preserve"> 725        </t>
  </si>
  <si>
    <t xml:space="preserve"> 726        </t>
  </si>
  <si>
    <t xml:space="preserve"> 727        </t>
  </si>
  <si>
    <t xml:space="preserve"> 728        </t>
  </si>
  <si>
    <t xml:space="preserve"> 729        </t>
  </si>
  <si>
    <t xml:space="preserve"> 730        </t>
  </si>
  <si>
    <t xml:space="preserve"> 731        </t>
  </si>
  <si>
    <t xml:space="preserve"> 732        </t>
  </si>
  <si>
    <t xml:space="preserve"> 733        </t>
  </si>
  <si>
    <t xml:space="preserve"> 734        </t>
  </si>
  <si>
    <t xml:space="preserve"> 735        </t>
  </si>
  <si>
    <t xml:space="preserve"> 736        </t>
  </si>
  <si>
    <t xml:space="preserve"> 737        </t>
  </si>
  <si>
    <t xml:space="preserve"> 738        </t>
  </si>
  <si>
    <t xml:space="preserve"> 739        </t>
  </si>
  <si>
    <t xml:space="preserve"> 740        </t>
  </si>
  <si>
    <t xml:space="preserve"> 741        </t>
  </si>
  <si>
    <t xml:space="preserve"> 742        </t>
  </si>
  <si>
    <t xml:space="preserve"> 743        </t>
  </si>
  <si>
    <t xml:space="preserve"> 744        </t>
  </si>
  <si>
    <t xml:space="preserve"> 745        </t>
  </si>
  <si>
    <t xml:space="preserve"> 746        </t>
  </si>
  <si>
    <t xml:space="preserve"> 747        </t>
  </si>
  <si>
    <t xml:space="preserve"> 748        </t>
  </si>
  <si>
    <t xml:space="preserve"> 749        </t>
  </si>
  <si>
    <t xml:space="preserve"> 750        </t>
  </si>
  <si>
    <t xml:space="preserve"> 751        </t>
  </si>
  <si>
    <t xml:space="preserve"> 752        </t>
  </si>
  <si>
    <t xml:space="preserve"> 753        </t>
  </si>
  <si>
    <t xml:space="preserve"> 754        </t>
  </si>
  <si>
    <t xml:space="preserve"> 755        </t>
  </si>
  <si>
    <t xml:space="preserve"> 756        </t>
  </si>
  <si>
    <t xml:space="preserve"> 757        </t>
  </si>
  <si>
    <t xml:space="preserve"> 758        </t>
  </si>
  <si>
    <t xml:space="preserve"> 759        </t>
  </si>
  <si>
    <t xml:space="preserve"> 760        </t>
  </si>
  <si>
    <t xml:space="preserve"> 761        </t>
  </si>
  <si>
    <t xml:space="preserve"> 762        </t>
  </si>
  <si>
    <t xml:space="preserve"> 763        </t>
  </si>
  <si>
    <t xml:space="preserve"> 764        </t>
  </si>
  <si>
    <t xml:space="preserve"> 765        </t>
  </si>
  <si>
    <t xml:space="preserve"> 766        </t>
  </si>
  <si>
    <t xml:space="preserve"> 767        </t>
  </si>
  <si>
    <t xml:space="preserve"> 768        </t>
  </si>
  <si>
    <t xml:space="preserve"> 769        </t>
  </si>
  <si>
    <t xml:space="preserve"> 770        </t>
  </si>
  <si>
    <t xml:space="preserve"> 771        </t>
  </si>
  <si>
    <t xml:space="preserve"> 772        </t>
  </si>
  <si>
    <t xml:space="preserve"> 773        </t>
  </si>
  <si>
    <t xml:space="preserve"> 774        </t>
  </si>
  <si>
    <t xml:space="preserve"> 775        </t>
  </si>
  <si>
    <t xml:space="preserve"> 776        </t>
  </si>
  <si>
    <t xml:space="preserve"> 777        </t>
  </si>
  <si>
    <t xml:space="preserve"> 778        </t>
  </si>
  <si>
    <t xml:space="preserve"> 779        </t>
  </si>
  <si>
    <t xml:space="preserve"> 780        </t>
  </si>
  <si>
    <t>Count of EmployeeID</t>
  </si>
  <si>
    <t>Row Labels</t>
  </si>
  <si>
    <t>Grand Total</t>
  </si>
  <si>
    <t>Count of EmployeeID2</t>
  </si>
  <si>
    <t>Average of Age</t>
  </si>
  <si>
    <t>Average of Years of Service</t>
  </si>
  <si>
    <t>Average of Performance Rating</t>
  </si>
  <si>
    <t>Average of Satisfaction Score</t>
  </si>
  <si>
    <t>Average of Salary</t>
  </si>
  <si>
    <t>Attrition</t>
  </si>
  <si>
    <t>Satisfaction Range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</si>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</sst>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quot;£&quot;#,##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A0F27"/>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2" borderId="0" xfId="0" applyFill="1"/>
    <xf numFmtId="0" fontId="1" fillId="2" borderId="0" xfId="0" applyFont="1" applyFill="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0"/>
      </font>
      <fill>
        <patternFill>
          <bgColor rgb="FF181C3A"/>
        </patternFill>
      </fill>
    </dxf>
    <dxf>
      <font>
        <b/>
        <i val="0"/>
        <color theme="0"/>
      </font>
    </dxf>
    <dxf>
      <font>
        <b/>
        <i val="0"/>
        <color theme="0"/>
      </font>
      <fill>
        <patternFill>
          <bgColor rgb="FF181C3A"/>
        </patternFill>
      </fill>
    </dxf>
    <dxf>
      <font>
        <b/>
        <i val="0"/>
        <color theme="0"/>
      </font>
    </dxf>
    <dxf>
      <font>
        <b/>
        <i val="0"/>
        <color theme="0"/>
      </font>
    </dxf>
    <dxf>
      <font>
        <b/>
        <i val="0"/>
      </font>
      <fill>
        <patternFill>
          <bgColor theme="0"/>
        </patternFill>
      </fill>
    </dxf>
    <dxf>
      <font>
        <b/>
        <i val="0"/>
        <color theme="0"/>
      </font>
      <fill>
        <patternFill>
          <bgColor rgb="FF181C3A"/>
        </patternFill>
      </fill>
    </dxf>
  </dxfs>
  <tableStyles count="8" defaultTableStyle="TableStyleMedium2" defaultPivotStyle="PivotStyleLight16">
    <tableStyle name="Slicer Style 1" pivot="0" table="0" count="2" xr9:uid="{F3D01F1E-DAB5-431C-8D83-8656BA196E86}">
      <tableStyleElement type="wholeTable" dxfId="15"/>
    </tableStyle>
    <tableStyle name="Slicer Style 2" pivot="0" table="0" count="1" xr9:uid="{671C6472-8ACC-40DE-BE9D-186C69D8C021}">
      <tableStyleElement type="wholeTable" dxfId="14"/>
    </tableStyle>
    <tableStyle name="Slicer Style 3" pivot="0" table="0" count="1" xr9:uid="{A2E4C3B4-AB66-421D-BDE4-8C1DC23DE0DA}">
      <tableStyleElement type="wholeTable" dxfId="13"/>
    </tableStyle>
    <tableStyle name="Slicer Style 4" pivot="0" table="0" count="1" xr9:uid="{109BCC7A-7FBA-48C5-A07D-9C74142F3620}">
      <tableStyleElement type="wholeTable" dxfId="12"/>
    </tableStyle>
    <tableStyle name="Slicer Style 5" pivot="0" table="0" count="2" xr9:uid="{084DAE11-F96E-4A10-9D5A-93C71C6A369F}">
      <tableStyleElement type="wholeTable" dxfId="11"/>
    </tableStyle>
    <tableStyle name="Slicer Style 6" pivot="0" table="0" count="1" xr9:uid="{4E998AB1-E081-4310-8B09-3AC6BADC599A}"/>
    <tableStyle name="Slicer Style 7" pivot="0" table="0" count="2" xr9:uid="{9BAF8E8E-B1CA-4C60-B28F-280188845A72}">
      <tableStyleElement type="wholeTable" dxfId="10"/>
    </tableStyle>
    <tableStyle name="Slicer Style 8" pivot="0" table="0" count="2" xr9:uid="{3FDDF7E8-C5D7-4F4B-BE89-9704D072815D}">
      <tableStyleElement type="wholeTable" dxfId="9"/>
    </tableStyle>
  </tableStyles>
  <colors>
    <mruColors>
      <color rgb="FF05DA97"/>
      <color rgb="FFDF198E"/>
      <color rgb="FF5D27B6"/>
      <color rgb="FFF06813"/>
      <color rgb="FF181C3A"/>
      <color rgb="FF0A0F27"/>
      <color rgb="FF09C9C8"/>
      <color rgb="FF000000"/>
    </mruColors>
  </colors>
  <extLst>
    <ext xmlns:x14="http://schemas.microsoft.com/office/spreadsheetml/2009/9/main" uri="{46F421CA-312F-682f-3DD2-61675219B42D}">
      <x14:dxfs count="5">
        <dxf>
          <fill>
            <patternFill>
              <bgColor rgb="FF05DA97"/>
            </patternFill>
          </fill>
        </dxf>
        <dxf>
          <fill>
            <patternFill>
              <bgColor rgb="FF05DA97"/>
            </patternFill>
          </fill>
        </dxf>
        <dxf>
          <font>
            <color theme="0"/>
          </font>
          <fill>
            <patternFill>
              <bgColor rgb="FF05DA97"/>
            </patternFill>
          </fill>
        </dxf>
        <dxf>
          <font>
            <color rgb="FF05DA97"/>
          </font>
          <fill>
            <patternFill>
              <bgColor rgb="FF05DA97"/>
            </patternFill>
          </fill>
        </dxf>
        <dxf>
          <font>
            <color rgb="FF05DA97"/>
          </font>
          <fill>
            <patternFill>
              <bgColor rgb="FFDF198E"/>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 name="Slicer Style 3"/>
        <x14:slicerStyle name="Slicer Style 4"/>
        <x14:slicerStyle name="Slicer Style 5">
          <x14:slicerStyleElements>
            <x14:slicerStyleElement type="selectedItemWithData" dxfId="3"/>
          </x14:slicerStyleElements>
        </x14:slicerStyle>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styles" Target="styles.xml"/><Relationship Id="rId21" Type="http://schemas.openxmlformats.org/officeDocument/2006/relationships/pivotCacheDefinition" Target="pivotCache/pivotCacheDefinition8.xml"/><Relationship Id="rId34" Type="http://schemas.openxmlformats.org/officeDocument/2006/relationships/pivotCacheDefinition" Target="pivotCache/pivotCacheDefinition21.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pivotCacheDefinition" Target="pivotCache/pivotCacheDefinition16.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pivotCacheDefinition" Target="pivotCache/pivotCacheDefinition19.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pivotCacheDefinition" Target="pivotCache/pivotCacheDefinition18.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gradFill flip="none" rotWithShape="1">
                <a:gsLst>
                  <a:gs pos="12000">
                    <a:srgbClr val="0A0F27"/>
                  </a:gs>
                  <a:gs pos="55000">
                    <a:srgbClr val="05DA97"/>
                  </a:gs>
                  <a:gs pos="100000">
                    <a:srgbClr val="181C3A"/>
                  </a:gs>
                </a:gsLst>
                <a:lin ang="0" scaled="1"/>
                <a:tileRect/>
              </a:gradFill>
              <a:round/>
            </a:ln>
            <a:effectLst/>
          </c:spPr>
          <c:marker>
            <c:symbol val="none"/>
          </c:marker>
          <c:val>
            <c:numRef>
              <c:f>YOS!$F$25:$F$39</c:f>
              <c:numCache>
                <c:formatCode>General</c:formatCode>
                <c:ptCount val="15"/>
                <c:pt idx="0">
                  <c:v>39</c:v>
                </c:pt>
                <c:pt idx="1">
                  <c:v>64</c:v>
                </c:pt>
                <c:pt idx="2">
                  <c:v>101</c:v>
                </c:pt>
                <c:pt idx="3">
                  <c:v>87</c:v>
                </c:pt>
                <c:pt idx="4">
                  <c:v>144</c:v>
                </c:pt>
                <c:pt idx="5">
                  <c:v>102</c:v>
                </c:pt>
                <c:pt idx="6">
                  <c:v>100</c:v>
                </c:pt>
                <c:pt idx="7">
                  <c:v>45</c:v>
                </c:pt>
                <c:pt idx="8">
                  <c:v>32</c:v>
                </c:pt>
                <c:pt idx="9">
                  <c:v>37</c:v>
                </c:pt>
                <c:pt idx="10">
                  <c:v>12</c:v>
                </c:pt>
                <c:pt idx="11">
                  <c:v>5</c:v>
                </c:pt>
                <c:pt idx="12">
                  <c:v>2</c:v>
                </c:pt>
                <c:pt idx="13">
                  <c:v>9</c:v>
                </c:pt>
                <c:pt idx="14">
                  <c:v>1</c:v>
                </c:pt>
              </c:numCache>
            </c:numRef>
          </c:val>
          <c:smooth val="1"/>
          <c:extLst>
            <c:ext xmlns:c16="http://schemas.microsoft.com/office/drawing/2014/chart" uri="{C3380CC4-5D6E-409C-BE32-E72D297353CC}">
              <c16:uniqueId val="{00000000-A919-4944-96F6-6E71C514B1AF}"/>
            </c:ext>
          </c:extLst>
        </c:ser>
        <c:dLbls>
          <c:showLegendKey val="0"/>
          <c:showVal val="0"/>
          <c:showCatName val="0"/>
          <c:showSerName val="0"/>
          <c:showPercent val="0"/>
          <c:showBubbleSize val="0"/>
        </c:dLbls>
        <c:smooth val="0"/>
        <c:axId val="615695343"/>
        <c:axId val="615696303"/>
      </c:lineChart>
      <c:catAx>
        <c:axId val="615695343"/>
        <c:scaling>
          <c:orientation val="minMax"/>
        </c:scaling>
        <c:delete val="1"/>
        <c:axPos val="b"/>
        <c:majorTickMark val="out"/>
        <c:minorTickMark val="none"/>
        <c:tickLblPos val="nextTo"/>
        <c:crossAx val="615696303"/>
        <c:crosses val="autoZero"/>
        <c:auto val="1"/>
        <c:lblAlgn val="ctr"/>
        <c:lblOffset val="100"/>
        <c:noMultiLvlLbl val="0"/>
      </c:catAx>
      <c:valAx>
        <c:axId val="615696303"/>
        <c:scaling>
          <c:orientation val="minMax"/>
        </c:scaling>
        <c:delete val="1"/>
        <c:axPos val="l"/>
        <c:numFmt formatCode="General" sourceLinked="1"/>
        <c:majorTickMark val="out"/>
        <c:minorTickMark val="none"/>
        <c:tickLblPos val="nextTo"/>
        <c:crossAx val="61569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Dept!$E$18:$E$23</c:f>
              <c:strCache>
                <c:ptCount val="6"/>
                <c:pt idx="0">
                  <c:v>HR</c:v>
                </c:pt>
                <c:pt idx="1">
                  <c:v>FN</c:v>
                </c:pt>
                <c:pt idx="2">
                  <c:v>SL</c:v>
                </c:pt>
                <c:pt idx="3">
                  <c:v>MK</c:v>
                </c:pt>
                <c:pt idx="4">
                  <c:v>IT</c:v>
                </c:pt>
                <c:pt idx="5">
                  <c:v>EN</c:v>
                </c:pt>
              </c:strCache>
            </c:strRef>
          </c:cat>
          <c:val>
            <c:numRef>
              <c:f>Dept!$F$18:$F$23</c:f>
              <c:numCache>
                <c:formatCode>General</c:formatCode>
                <c:ptCount val="6"/>
                <c:pt idx="0">
                  <c:v>49</c:v>
                </c:pt>
                <c:pt idx="1">
                  <c:v>46</c:v>
                </c:pt>
                <c:pt idx="2">
                  <c:v>44</c:v>
                </c:pt>
                <c:pt idx="3">
                  <c:v>41</c:v>
                </c:pt>
                <c:pt idx="4">
                  <c:v>36</c:v>
                </c:pt>
                <c:pt idx="5">
                  <c:v>18</c:v>
                </c:pt>
              </c:numCache>
            </c:numRef>
          </c:val>
          <c:extLst>
            <c:ext xmlns:c16="http://schemas.microsoft.com/office/drawing/2014/chart" uri="{C3380CC4-5D6E-409C-BE32-E72D297353CC}">
              <c16:uniqueId val="{00000000-70FC-41CB-BB05-3467C07C57D3}"/>
            </c:ext>
          </c:extLst>
        </c:ser>
        <c:dLbls>
          <c:dLblPos val="inEnd"/>
          <c:showLegendKey val="0"/>
          <c:showVal val="1"/>
          <c:showCatName val="0"/>
          <c:showSerName val="0"/>
          <c:showPercent val="0"/>
          <c:showBubbleSize val="0"/>
        </c:dLbls>
        <c:gapWidth val="150"/>
        <c:overlap val="100"/>
        <c:axId val="564211375"/>
        <c:axId val="564206575"/>
      </c:barChart>
      <c:catAx>
        <c:axId val="56421137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4206575"/>
        <c:crosses val="autoZero"/>
        <c:auto val="1"/>
        <c:lblAlgn val="ctr"/>
        <c:lblOffset val="100"/>
        <c:noMultiLvlLbl val="0"/>
      </c:catAx>
      <c:valAx>
        <c:axId val="564206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421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Roles'!$E$16:$E$21</c:f>
              <c:strCache>
                <c:ptCount val="6"/>
                <c:pt idx="0">
                  <c:v>Accountant</c:v>
                </c:pt>
                <c:pt idx="1">
                  <c:v>Sales Rep</c:v>
                </c:pt>
                <c:pt idx="2">
                  <c:v>Manager</c:v>
                </c:pt>
                <c:pt idx="3">
                  <c:v>Analyst</c:v>
                </c:pt>
                <c:pt idx="4">
                  <c:v>Engineer</c:v>
                </c:pt>
                <c:pt idx="5">
                  <c:v>Specialist</c:v>
                </c:pt>
              </c:strCache>
            </c:strRef>
          </c:cat>
          <c:val>
            <c:numRef>
              <c:f>'Job Roles'!$F$16:$F$21</c:f>
              <c:numCache>
                <c:formatCode>General</c:formatCode>
                <c:ptCount val="6"/>
                <c:pt idx="0">
                  <c:v>5</c:v>
                </c:pt>
                <c:pt idx="1">
                  <c:v>23</c:v>
                </c:pt>
                <c:pt idx="2">
                  <c:v>25</c:v>
                </c:pt>
                <c:pt idx="3">
                  <c:v>21</c:v>
                </c:pt>
                <c:pt idx="4">
                  <c:v>51</c:v>
                </c:pt>
                <c:pt idx="5">
                  <c:v>86</c:v>
                </c:pt>
              </c:numCache>
            </c:numRef>
          </c:val>
          <c:extLst>
            <c:ext xmlns:c16="http://schemas.microsoft.com/office/drawing/2014/chart" uri="{C3380CC4-5D6E-409C-BE32-E72D297353CC}">
              <c16:uniqueId val="{00000000-67C1-4B7F-BE98-55A2B0433E53}"/>
            </c:ext>
          </c:extLst>
        </c:ser>
        <c:dLbls>
          <c:dLblPos val="outEnd"/>
          <c:showLegendKey val="0"/>
          <c:showVal val="1"/>
          <c:showCatName val="0"/>
          <c:showSerName val="0"/>
          <c:showPercent val="0"/>
          <c:showBubbleSize val="0"/>
        </c:dLbls>
        <c:gapWidth val="182"/>
        <c:axId val="336760463"/>
        <c:axId val="336760943"/>
      </c:barChart>
      <c:catAx>
        <c:axId val="33676046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6760943"/>
        <c:crosses val="autoZero"/>
        <c:auto val="1"/>
        <c:lblAlgn val="ctr"/>
        <c:lblOffset val="100"/>
        <c:noMultiLvlLbl val="0"/>
      </c:catAx>
      <c:valAx>
        <c:axId val="336760943"/>
        <c:scaling>
          <c:orientation val="minMax"/>
        </c:scaling>
        <c:delete val="1"/>
        <c:axPos val="b"/>
        <c:numFmt formatCode="General" sourceLinked="1"/>
        <c:majorTickMark val="none"/>
        <c:minorTickMark val="none"/>
        <c:tickLblPos val="nextTo"/>
        <c:crossAx val="33676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D27B6"/>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Performance!$E$16:$E$20</c:f>
              <c:strCache>
                <c:ptCount val="5"/>
                <c:pt idx="0">
                  <c:v>Good</c:v>
                </c:pt>
                <c:pt idx="1">
                  <c:v>Above Average</c:v>
                </c:pt>
                <c:pt idx="2">
                  <c:v>Below Average</c:v>
                </c:pt>
                <c:pt idx="3">
                  <c:v>Average</c:v>
                </c:pt>
                <c:pt idx="4">
                  <c:v>Poor</c:v>
                </c:pt>
              </c:strCache>
            </c:strRef>
          </c:cat>
          <c:val>
            <c:numRef>
              <c:f>Performance!$F$16:$F$20</c:f>
              <c:numCache>
                <c:formatCode>General</c:formatCode>
                <c:ptCount val="5"/>
                <c:pt idx="0">
                  <c:v>11</c:v>
                </c:pt>
                <c:pt idx="1">
                  <c:v>20</c:v>
                </c:pt>
                <c:pt idx="2">
                  <c:v>57</c:v>
                </c:pt>
                <c:pt idx="3">
                  <c:v>70</c:v>
                </c:pt>
                <c:pt idx="4">
                  <c:v>76</c:v>
                </c:pt>
              </c:numCache>
            </c:numRef>
          </c:val>
          <c:extLst>
            <c:ext xmlns:c16="http://schemas.microsoft.com/office/drawing/2014/chart" uri="{C3380CC4-5D6E-409C-BE32-E72D297353CC}">
              <c16:uniqueId val="{00000000-E4AB-4B71-8DAD-A9D6BD370069}"/>
            </c:ext>
          </c:extLst>
        </c:ser>
        <c:ser>
          <c:idx val="1"/>
          <c:order val="1"/>
          <c:spPr>
            <a:solidFill>
              <a:srgbClr val="0A0F27"/>
            </a:solidFill>
            <a:ln>
              <a:noFill/>
            </a:ln>
            <a:effectLst/>
          </c:spPr>
          <c:invertIfNegative val="0"/>
          <c:dLbls>
            <c:delete val="1"/>
          </c:dLbls>
          <c:cat>
            <c:strRef>
              <c:f>Performance!$E$16:$E$20</c:f>
              <c:strCache>
                <c:ptCount val="5"/>
                <c:pt idx="0">
                  <c:v>Good</c:v>
                </c:pt>
                <c:pt idx="1">
                  <c:v>Above Average</c:v>
                </c:pt>
                <c:pt idx="2">
                  <c:v>Below Average</c:v>
                </c:pt>
                <c:pt idx="3">
                  <c:v>Average</c:v>
                </c:pt>
                <c:pt idx="4">
                  <c:v>Poor</c:v>
                </c:pt>
              </c:strCache>
            </c:strRef>
          </c:cat>
          <c:val>
            <c:numRef>
              <c:f>Performance!$G$16:$G$20</c:f>
              <c:numCache>
                <c:formatCode>General</c:formatCode>
                <c:ptCount val="5"/>
                <c:pt idx="0">
                  <c:v>84</c:v>
                </c:pt>
                <c:pt idx="1">
                  <c:v>75</c:v>
                </c:pt>
                <c:pt idx="2">
                  <c:v>38</c:v>
                </c:pt>
                <c:pt idx="3">
                  <c:v>25</c:v>
                </c:pt>
                <c:pt idx="4">
                  <c:v>19</c:v>
                </c:pt>
              </c:numCache>
            </c:numRef>
          </c:val>
          <c:extLst>
            <c:ext xmlns:c16="http://schemas.microsoft.com/office/drawing/2014/chart" uri="{C3380CC4-5D6E-409C-BE32-E72D297353CC}">
              <c16:uniqueId val="{00000001-E4AB-4B71-8DAD-A9D6BD370069}"/>
            </c:ext>
          </c:extLst>
        </c:ser>
        <c:dLbls>
          <c:dLblPos val="ctr"/>
          <c:showLegendKey val="0"/>
          <c:showVal val="1"/>
          <c:showCatName val="0"/>
          <c:showSerName val="0"/>
          <c:showPercent val="0"/>
          <c:showBubbleSize val="0"/>
        </c:dLbls>
        <c:gapWidth val="150"/>
        <c:overlap val="100"/>
        <c:axId val="615687663"/>
        <c:axId val="615691983"/>
      </c:barChart>
      <c:catAx>
        <c:axId val="6156876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15691983"/>
        <c:crosses val="autoZero"/>
        <c:auto val="1"/>
        <c:lblAlgn val="ctr"/>
        <c:lblOffset val="100"/>
        <c:noMultiLvlLbl val="0"/>
      </c:catAx>
      <c:valAx>
        <c:axId val="615691983"/>
        <c:scaling>
          <c:orientation val="minMax"/>
        </c:scaling>
        <c:delete val="1"/>
        <c:axPos val="b"/>
        <c:numFmt formatCode="General" sourceLinked="1"/>
        <c:majorTickMark val="none"/>
        <c:minorTickMark val="none"/>
        <c:tickLblPos val="nextTo"/>
        <c:crossAx val="6156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Satisfaction!$E$16</c:f>
              <c:strCache>
                <c:ptCount val="1"/>
                <c:pt idx="0">
                  <c:v>Highly Dissatisfied</c:v>
                </c:pt>
              </c:strCache>
            </c:strRef>
          </c:tx>
          <c:spPr>
            <a:ln>
              <a:noFill/>
            </a:ln>
          </c:spPr>
          <c:dPt>
            <c:idx val="0"/>
            <c:bubble3D val="0"/>
            <c:spPr>
              <a:solidFill>
                <a:srgbClr val="F06813"/>
              </a:solidFill>
              <a:ln w="19050">
                <a:noFill/>
              </a:ln>
              <a:effectLst/>
            </c:spPr>
            <c:extLst>
              <c:ext xmlns:c16="http://schemas.microsoft.com/office/drawing/2014/chart" uri="{C3380CC4-5D6E-409C-BE32-E72D297353CC}">
                <c16:uniqueId val="{00000001-1E94-4958-908B-9D70CCA9CE81}"/>
              </c:ext>
            </c:extLst>
          </c:dPt>
          <c:dPt>
            <c:idx val="1"/>
            <c:bubble3D val="0"/>
            <c:spPr>
              <a:solidFill>
                <a:srgbClr val="0A0F27"/>
              </a:solidFill>
              <a:ln w="19050">
                <a:noFill/>
              </a:ln>
              <a:effectLst/>
            </c:spPr>
            <c:extLst>
              <c:ext xmlns:c16="http://schemas.microsoft.com/office/drawing/2014/chart" uri="{C3380CC4-5D6E-409C-BE32-E72D297353CC}">
                <c16:uniqueId val="{00000003-1E94-4958-908B-9D70CCA9CE81}"/>
              </c:ext>
            </c:extLst>
          </c:dPt>
          <c:val>
            <c:numRef>
              <c:f>Satisfaction!$F$16:$G$16</c:f>
              <c:numCache>
                <c:formatCode>General</c:formatCode>
                <c:ptCount val="2"/>
                <c:pt idx="0">
                  <c:v>3</c:v>
                </c:pt>
                <c:pt idx="1">
                  <c:v>142</c:v>
                </c:pt>
              </c:numCache>
            </c:numRef>
          </c:val>
          <c:extLst>
            <c:ext xmlns:c16="http://schemas.microsoft.com/office/drawing/2014/chart" uri="{C3380CC4-5D6E-409C-BE32-E72D297353CC}">
              <c16:uniqueId val="{00000004-1E94-4958-908B-9D70CCA9CE81}"/>
            </c:ext>
          </c:extLst>
        </c:ser>
        <c:ser>
          <c:idx val="1"/>
          <c:order val="1"/>
          <c:tx>
            <c:strRef>
              <c:f>Satisfaction!$E$17</c:f>
              <c:strCache>
                <c:ptCount val="1"/>
                <c:pt idx="0">
                  <c:v>Highly Satisfied</c:v>
                </c:pt>
              </c:strCache>
            </c:strRef>
          </c:tx>
          <c:spPr>
            <a:ln>
              <a:noFill/>
            </a:ln>
          </c:spPr>
          <c:dPt>
            <c:idx val="0"/>
            <c:bubble3D val="0"/>
            <c:spPr>
              <a:solidFill>
                <a:srgbClr val="09C9C8"/>
              </a:solidFill>
              <a:ln w="19050">
                <a:noFill/>
              </a:ln>
              <a:effectLst/>
            </c:spPr>
            <c:extLst>
              <c:ext xmlns:c16="http://schemas.microsoft.com/office/drawing/2014/chart" uri="{C3380CC4-5D6E-409C-BE32-E72D297353CC}">
                <c16:uniqueId val="{00000006-1E94-4958-908B-9D70CCA9CE81}"/>
              </c:ext>
            </c:extLst>
          </c:dPt>
          <c:dPt>
            <c:idx val="1"/>
            <c:bubble3D val="0"/>
            <c:spPr>
              <a:solidFill>
                <a:srgbClr val="0A0F27"/>
              </a:solidFill>
              <a:ln w="19050">
                <a:noFill/>
              </a:ln>
              <a:effectLst/>
            </c:spPr>
            <c:extLst>
              <c:ext xmlns:c16="http://schemas.microsoft.com/office/drawing/2014/chart" uri="{C3380CC4-5D6E-409C-BE32-E72D297353CC}">
                <c16:uniqueId val="{00000008-1E94-4958-908B-9D70CCA9CE81}"/>
              </c:ext>
            </c:extLst>
          </c:dPt>
          <c:val>
            <c:numRef>
              <c:f>Satisfaction!$F$17:$G$17</c:f>
              <c:numCache>
                <c:formatCode>General</c:formatCode>
                <c:ptCount val="2"/>
                <c:pt idx="0">
                  <c:v>4</c:v>
                </c:pt>
                <c:pt idx="1">
                  <c:v>141</c:v>
                </c:pt>
              </c:numCache>
            </c:numRef>
          </c:val>
          <c:extLst>
            <c:ext xmlns:c16="http://schemas.microsoft.com/office/drawing/2014/chart" uri="{C3380CC4-5D6E-409C-BE32-E72D297353CC}">
              <c16:uniqueId val="{00000009-1E94-4958-908B-9D70CCA9CE81}"/>
            </c:ext>
          </c:extLst>
        </c:ser>
        <c:ser>
          <c:idx val="2"/>
          <c:order val="2"/>
          <c:tx>
            <c:strRef>
              <c:f>Satisfaction!$E$18</c:f>
              <c:strCache>
                <c:ptCount val="1"/>
                <c:pt idx="0">
                  <c:v>Satisfied</c:v>
                </c:pt>
              </c:strCache>
            </c:strRef>
          </c:tx>
          <c:spPr>
            <a:ln>
              <a:noFill/>
            </a:ln>
          </c:spPr>
          <c:dPt>
            <c:idx val="0"/>
            <c:bubble3D val="0"/>
            <c:spPr>
              <a:solidFill>
                <a:srgbClr val="DF198E"/>
              </a:solidFill>
              <a:ln w="19050">
                <a:noFill/>
              </a:ln>
              <a:effectLst/>
            </c:spPr>
            <c:extLst>
              <c:ext xmlns:c16="http://schemas.microsoft.com/office/drawing/2014/chart" uri="{C3380CC4-5D6E-409C-BE32-E72D297353CC}">
                <c16:uniqueId val="{0000000B-1E94-4958-908B-9D70CCA9CE81}"/>
              </c:ext>
            </c:extLst>
          </c:dPt>
          <c:dPt>
            <c:idx val="1"/>
            <c:bubble3D val="0"/>
            <c:spPr>
              <a:solidFill>
                <a:srgbClr val="0A0F27"/>
              </a:solidFill>
              <a:ln w="19050">
                <a:noFill/>
              </a:ln>
              <a:effectLst/>
            </c:spPr>
            <c:extLst>
              <c:ext xmlns:c16="http://schemas.microsoft.com/office/drawing/2014/chart" uri="{C3380CC4-5D6E-409C-BE32-E72D297353CC}">
                <c16:uniqueId val="{0000000D-1E94-4958-908B-9D70CCA9CE81}"/>
              </c:ext>
            </c:extLst>
          </c:dPt>
          <c:val>
            <c:numRef>
              <c:f>Satisfaction!$F$18:$G$18</c:f>
              <c:numCache>
                <c:formatCode>General</c:formatCode>
                <c:ptCount val="2"/>
                <c:pt idx="0">
                  <c:v>43</c:v>
                </c:pt>
                <c:pt idx="1">
                  <c:v>102</c:v>
                </c:pt>
              </c:numCache>
            </c:numRef>
          </c:val>
          <c:extLst>
            <c:ext xmlns:c16="http://schemas.microsoft.com/office/drawing/2014/chart" uri="{C3380CC4-5D6E-409C-BE32-E72D297353CC}">
              <c16:uniqueId val="{0000000E-1E94-4958-908B-9D70CCA9CE81}"/>
            </c:ext>
          </c:extLst>
        </c:ser>
        <c:ser>
          <c:idx val="3"/>
          <c:order val="3"/>
          <c:tx>
            <c:strRef>
              <c:f>Satisfaction!$E$19</c:f>
              <c:strCache>
                <c:ptCount val="1"/>
                <c:pt idx="0">
                  <c:v>Dissatisfied</c:v>
                </c:pt>
              </c:strCache>
            </c:strRef>
          </c:tx>
          <c:spPr>
            <a:ln>
              <a:noFill/>
            </a:ln>
          </c:spPr>
          <c:dPt>
            <c:idx val="0"/>
            <c:bubble3D val="0"/>
            <c:spPr>
              <a:solidFill>
                <a:srgbClr val="09C9C8"/>
              </a:solidFill>
              <a:ln w="19050">
                <a:noFill/>
              </a:ln>
              <a:effectLst/>
            </c:spPr>
            <c:extLst>
              <c:ext xmlns:c16="http://schemas.microsoft.com/office/drawing/2014/chart" uri="{C3380CC4-5D6E-409C-BE32-E72D297353CC}">
                <c16:uniqueId val="{00000010-1E94-4958-908B-9D70CCA9CE81}"/>
              </c:ext>
            </c:extLst>
          </c:dPt>
          <c:dPt>
            <c:idx val="1"/>
            <c:bubble3D val="0"/>
            <c:spPr>
              <a:solidFill>
                <a:srgbClr val="0A0F27"/>
              </a:solidFill>
              <a:ln w="19050">
                <a:noFill/>
              </a:ln>
              <a:effectLst/>
            </c:spPr>
            <c:extLst>
              <c:ext xmlns:c16="http://schemas.microsoft.com/office/drawing/2014/chart" uri="{C3380CC4-5D6E-409C-BE32-E72D297353CC}">
                <c16:uniqueId val="{00000012-1E94-4958-908B-9D70CCA9CE81}"/>
              </c:ext>
            </c:extLst>
          </c:dPt>
          <c:val>
            <c:numRef>
              <c:f>Satisfaction!$F$19:$G$19</c:f>
              <c:numCache>
                <c:formatCode>General</c:formatCode>
                <c:ptCount val="2"/>
                <c:pt idx="0">
                  <c:v>68</c:v>
                </c:pt>
                <c:pt idx="1">
                  <c:v>77</c:v>
                </c:pt>
              </c:numCache>
            </c:numRef>
          </c:val>
          <c:extLst>
            <c:ext xmlns:c16="http://schemas.microsoft.com/office/drawing/2014/chart" uri="{C3380CC4-5D6E-409C-BE32-E72D297353CC}">
              <c16:uniqueId val="{00000013-1E94-4958-908B-9D70CCA9CE81}"/>
            </c:ext>
          </c:extLst>
        </c:ser>
        <c:ser>
          <c:idx val="4"/>
          <c:order val="4"/>
          <c:tx>
            <c:strRef>
              <c:f>Satisfaction!$E$20</c:f>
              <c:strCache>
                <c:ptCount val="1"/>
                <c:pt idx="0">
                  <c:v>Average</c:v>
                </c:pt>
              </c:strCache>
            </c:strRef>
          </c:tx>
          <c:spPr>
            <a:ln>
              <a:noFill/>
            </a:ln>
          </c:spPr>
          <c:dPt>
            <c:idx val="0"/>
            <c:bubble3D val="0"/>
            <c:spPr>
              <a:solidFill>
                <a:srgbClr val="5D27B6"/>
              </a:solidFill>
              <a:ln w="19050">
                <a:noFill/>
              </a:ln>
              <a:effectLst/>
            </c:spPr>
            <c:extLst>
              <c:ext xmlns:c16="http://schemas.microsoft.com/office/drawing/2014/chart" uri="{C3380CC4-5D6E-409C-BE32-E72D297353CC}">
                <c16:uniqueId val="{00000015-1E94-4958-908B-9D70CCA9CE81}"/>
              </c:ext>
            </c:extLst>
          </c:dPt>
          <c:dPt>
            <c:idx val="1"/>
            <c:bubble3D val="0"/>
            <c:spPr>
              <a:solidFill>
                <a:srgbClr val="0A0F27"/>
              </a:solidFill>
              <a:ln w="19050">
                <a:noFill/>
              </a:ln>
              <a:effectLst/>
            </c:spPr>
            <c:extLst>
              <c:ext xmlns:c16="http://schemas.microsoft.com/office/drawing/2014/chart" uri="{C3380CC4-5D6E-409C-BE32-E72D297353CC}">
                <c16:uniqueId val="{00000017-1E94-4958-908B-9D70CCA9CE81}"/>
              </c:ext>
            </c:extLst>
          </c:dPt>
          <c:val>
            <c:numRef>
              <c:f>Satisfaction!$F$20:$G$20</c:f>
              <c:numCache>
                <c:formatCode>General</c:formatCode>
                <c:ptCount val="2"/>
                <c:pt idx="0">
                  <c:v>116</c:v>
                </c:pt>
                <c:pt idx="1">
                  <c:v>29</c:v>
                </c:pt>
              </c:numCache>
            </c:numRef>
          </c:val>
          <c:extLst>
            <c:ext xmlns:c16="http://schemas.microsoft.com/office/drawing/2014/chart" uri="{C3380CC4-5D6E-409C-BE32-E72D297353CC}">
              <c16:uniqueId val="{00000018-1E94-4958-908B-9D70CCA9CE81}"/>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DF198E"/>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Sheet4!$E$15:$E$19</c:f>
              <c:strCache>
                <c:ptCount val="5"/>
                <c:pt idx="0">
                  <c:v>26-30 years</c:v>
                </c:pt>
                <c:pt idx="1">
                  <c:v>31-35 years</c:v>
                </c:pt>
                <c:pt idx="2">
                  <c:v>36-40 years</c:v>
                </c:pt>
                <c:pt idx="3">
                  <c:v>41-45 years</c:v>
                </c:pt>
                <c:pt idx="4">
                  <c:v>46-50 years</c:v>
                </c:pt>
              </c:strCache>
            </c:strRef>
          </c:cat>
          <c:val>
            <c:numRef>
              <c:f>Sheet4!$F$15:$F$19</c:f>
              <c:numCache>
                <c:formatCode>General</c:formatCode>
                <c:ptCount val="5"/>
                <c:pt idx="0">
                  <c:v>65</c:v>
                </c:pt>
                <c:pt idx="1">
                  <c:v>91</c:v>
                </c:pt>
                <c:pt idx="2">
                  <c:v>57</c:v>
                </c:pt>
                <c:pt idx="3">
                  <c:v>20</c:v>
                </c:pt>
                <c:pt idx="4">
                  <c:v>1</c:v>
                </c:pt>
              </c:numCache>
            </c:numRef>
          </c:val>
          <c:extLst>
            <c:ext xmlns:c16="http://schemas.microsoft.com/office/drawing/2014/chart" uri="{C3380CC4-5D6E-409C-BE32-E72D297353CC}">
              <c16:uniqueId val="{00000000-A857-441A-9218-39ED82EA9D8E}"/>
            </c:ext>
          </c:extLst>
        </c:ser>
        <c:dLbls>
          <c:dLblPos val="outEnd"/>
          <c:showLegendKey val="0"/>
          <c:showVal val="1"/>
          <c:showCatName val="0"/>
          <c:showSerName val="0"/>
          <c:showPercent val="0"/>
          <c:showBubbleSize val="0"/>
        </c:dLbls>
        <c:gapWidth val="219"/>
        <c:overlap val="-27"/>
        <c:axId val="332371103"/>
        <c:axId val="332368703"/>
      </c:barChart>
      <c:catAx>
        <c:axId val="3323711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332368703"/>
        <c:crosses val="autoZero"/>
        <c:auto val="1"/>
        <c:lblAlgn val="ctr"/>
        <c:lblOffset val="100"/>
        <c:noMultiLvlLbl val="0"/>
      </c:catAx>
      <c:valAx>
        <c:axId val="332368703"/>
        <c:scaling>
          <c:orientation val="minMax"/>
        </c:scaling>
        <c:delete val="1"/>
        <c:axPos val="l"/>
        <c:numFmt formatCode="General" sourceLinked="1"/>
        <c:majorTickMark val="out"/>
        <c:minorTickMark val="none"/>
        <c:tickLblPos val="nextTo"/>
        <c:crossAx val="33237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Gender!$E$12</c:f>
              <c:strCache>
                <c:ptCount val="1"/>
                <c:pt idx="0">
                  <c:v>Female</c:v>
                </c:pt>
              </c:strCache>
            </c:strRef>
          </c:tx>
          <c:spPr>
            <a:solidFill>
              <a:srgbClr val="DF198E"/>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Gender!$F$12</c:f>
              <c:numCache>
                <c:formatCode>General</c:formatCode>
                <c:ptCount val="1"/>
                <c:pt idx="0">
                  <c:v>111</c:v>
                </c:pt>
              </c:numCache>
            </c:numRef>
          </c:val>
          <c:extLst>
            <c:ext xmlns:c16="http://schemas.microsoft.com/office/drawing/2014/chart" uri="{C3380CC4-5D6E-409C-BE32-E72D297353CC}">
              <c16:uniqueId val="{00000000-670E-4492-9369-ACD80719535B}"/>
            </c:ext>
          </c:extLst>
        </c:ser>
        <c:ser>
          <c:idx val="1"/>
          <c:order val="1"/>
          <c:tx>
            <c:strRef>
              <c:f>Gender!$E$13</c:f>
              <c:strCache>
                <c:ptCount val="1"/>
                <c:pt idx="0">
                  <c:v>Male</c:v>
                </c:pt>
              </c:strCache>
            </c:strRef>
          </c:tx>
          <c:spPr>
            <a:solidFill>
              <a:srgbClr val="0A0F2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Gender!$F$13</c:f>
              <c:numCache>
                <c:formatCode>General</c:formatCode>
                <c:ptCount val="1"/>
                <c:pt idx="0">
                  <c:v>123</c:v>
                </c:pt>
              </c:numCache>
            </c:numRef>
          </c:val>
          <c:extLst>
            <c:ext xmlns:c16="http://schemas.microsoft.com/office/drawing/2014/chart" uri="{C3380CC4-5D6E-409C-BE32-E72D297353CC}">
              <c16:uniqueId val="{00000001-670E-4492-9369-ACD80719535B}"/>
            </c:ext>
          </c:extLst>
        </c:ser>
        <c:dLbls>
          <c:dLblPos val="ctr"/>
          <c:showLegendKey val="0"/>
          <c:showVal val="1"/>
          <c:showCatName val="0"/>
          <c:showSerName val="0"/>
          <c:showPercent val="0"/>
          <c:showBubbleSize val="0"/>
        </c:dLbls>
        <c:gapWidth val="150"/>
        <c:overlap val="100"/>
        <c:axId val="556574063"/>
        <c:axId val="556573103"/>
      </c:barChart>
      <c:catAx>
        <c:axId val="556574063"/>
        <c:scaling>
          <c:orientation val="minMax"/>
        </c:scaling>
        <c:delete val="1"/>
        <c:axPos val="l"/>
        <c:numFmt formatCode="General" sourceLinked="1"/>
        <c:majorTickMark val="none"/>
        <c:minorTickMark val="none"/>
        <c:tickLblPos val="nextTo"/>
        <c:crossAx val="556573103"/>
        <c:crosses val="autoZero"/>
        <c:auto val="1"/>
        <c:lblAlgn val="ctr"/>
        <c:lblOffset val="100"/>
        <c:noMultiLvlLbl val="0"/>
      </c:catAx>
      <c:valAx>
        <c:axId val="556573103"/>
        <c:scaling>
          <c:orientation val="minMax"/>
        </c:scaling>
        <c:delete val="1"/>
        <c:axPos val="b"/>
        <c:numFmt formatCode="0%" sourceLinked="1"/>
        <c:majorTickMark val="none"/>
        <c:minorTickMark val="none"/>
        <c:tickLblPos val="nextTo"/>
        <c:crossAx val="55657406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Salary!$E$17</c:f>
              <c:strCache>
                <c:ptCount val="1"/>
                <c:pt idx="0">
                  <c:v>Low</c:v>
                </c:pt>
              </c:strCache>
            </c:strRef>
          </c:tx>
          <c:spPr>
            <a:ln>
              <a:noFill/>
            </a:ln>
          </c:spPr>
          <c:dPt>
            <c:idx val="0"/>
            <c:bubble3D val="0"/>
            <c:spPr>
              <a:solidFill>
                <a:srgbClr val="5D27B6"/>
              </a:solidFill>
              <a:ln w="19050">
                <a:noFill/>
              </a:ln>
              <a:effectLst/>
            </c:spPr>
            <c:extLst>
              <c:ext xmlns:c16="http://schemas.microsoft.com/office/drawing/2014/chart" uri="{C3380CC4-5D6E-409C-BE32-E72D297353CC}">
                <c16:uniqueId val="{00000001-5C37-426A-BB92-587BCEFC8B24}"/>
              </c:ext>
            </c:extLst>
          </c:dPt>
          <c:dPt>
            <c:idx val="1"/>
            <c:bubble3D val="0"/>
            <c:spPr>
              <a:solidFill>
                <a:srgbClr val="0A0F27"/>
              </a:solidFill>
              <a:ln w="19050">
                <a:noFill/>
              </a:ln>
              <a:effectLst/>
            </c:spPr>
            <c:extLst>
              <c:ext xmlns:c16="http://schemas.microsoft.com/office/drawing/2014/chart" uri="{C3380CC4-5D6E-409C-BE32-E72D297353CC}">
                <c16:uniqueId val="{00000003-5C37-426A-BB92-587BCEFC8B24}"/>
              </c:ext>
            </c:extLst>
          </c:dPt>
          <c:val>
            <c:numRef>
              <c:f>Salary!$F$17:$G$17</c:f>
              <c:numCache>
                <c:formatCode>General</c:formatCode>
                <c:ptCount val="2"/>
                <c:pt idx="0">
                  <c:v>87</c:v>
                </c:pt>
                <c:pt idx="1">
                  <c:v>21.75</c:v>
                </c:pt>
              </c:numCache>
            </c:numRef>
          </c:val>
          <c:extLst>
            <c:ext xmlns:c16="http://schemas.microsoft.com/office/drawing/2014/chart" uri="{C3380CC4-5D6E-409C-BE32-E72D297353CC}">
              <c16:uniqueId val="{00000004-5C37-426A-BB92-587BCEFC8B2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Salary!$E$18</c:f>
              <c:strCache>
                <c:ptCount val="1"/>
                <c:pt idx="0">
                  <c:v>Average</c:v>
                </c:pt>
              </c:strCache>
            </c:strRef>
          </c:tx>
          <c:spPr>
            <a:ln>
              <a:noFill/>
            </a:ln>
          </c:spPr>
          <c:dPt>
            <c:idx val="0"/>
            <c:bubble3D val="0"/>
            <c:spPr>
              <a:solidFill>
                <a:srgbClr val="09C9C8"/>
              </a:solidFill>
              <a:ln w="19050">
                <a:noFill/>
              </a:ln>
              <a:effectLst/>
            </c:spPr>
            <c:extLst>
              <c:ext xmlns:c16="http://schemas.microsoft.com/office/drawing/2014/chart" uri="{C3380CC4-5D6E-409C-BE32-E72D297353CC}">
                <c16:uniqueId val="{00000001-FDD9-40AF-9644-B2E799BC5665}"/>
              </c:ext>
            </c:extLst>
          </c:dPt>
          <c:dPt>
            <c:idx val="1"/>
            <c:bubble3D val="0"/>
            <c:spPr>
              <a:solidFill>
                <a:srgbClr val="0A0F27"/>
              </a:solidFill>
              <a:ln w="19050">
                <a:noFill/>
              </a:ln>
              <a:effectLst/>
            </c:spPr>
            <c:extLst>
              <c:ext xmlns:c16="http://schemas.microsoft.com/office/drawing/2014/chart" uri="{C3380CC4-5D6E-409C-BE32-E72D297353CC}">
                <c16:uniqueId val="{00000003-FDD9-40AF-9644-B2E799BC5665}"/>
              </c:ext>
            </c:extLst>
          </c:dPt>
          <c:val>
            <c:numRef>
              <c:f>Salary!$F$18:$G$18</c:f>
              <c:numCache>
                <c:formatCode>General</c:formatCode>
                <c:ptCount val="2"/>
                <c:pt idx="0">
                  <c:v>86</c:v>
                </c:pt>
                <c:pt idx="1">
                  <c:v>22.75</c:v>
                </c:pt>
              </c:numCache>
            </c:numRef>
          </c:val>
          <c:extLst>
            <c:ext xmlns:c16="http://schemas.microsoft.com/office/drawing/2014/chart" uri="{C3380CC4-5D6E-409C-BE32-E72D297353CC}">
              <c16:uniqueId val="{00000004-FDD9-40AF-9644-B2E799BC566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Salary!$E$19</c:f>
              <c:strCache>
                <c:ptCount val="1"/>
                <c:pt idx="0">
                  <c:v>Very High</c:v>
                </c:pt>
              </c:strCache>
            </c:strRef>
          </c:tx>
          <c:spPr>
            <a:ln>
              <a:noFill/>
            </a:ln>
          </c:spPr>
          <c:dPt>
            <c:idx val="0"/>
            <c:bubble3D val="0"/>
            <c:spPr>
              <a:solidFill>
                <a:srgbClr val="DF198E"/>
              </a:solidFill>
              <a:ln w="19050">
                <a:noFill/>
              </a:ln>
              <a:effectLst/>
            </c:spPr>
            <c:extLst>
              <c:ext xmlns:c16="http://schemas.microsoft.com/office/drawing/2014/chart" uri="{C3380CC4-5D6E-409C-BE32-E72D297353CC}">
                <c16:uniqueId val="{00000001-C5EF-434C-909C-FFC8DBBBF4E9}"/>
              </c:ext>
            </c:extLst>
          </c:dPt>
          <c:dPt>
            <c:idx val="1"/>
            <c:bubble3D val="0"/>
            <c:spPr>
              <a:solidFill>
                <a:srgbClr val="0A0F27"/>
              </a:solidFill>
              <a:ln w="19050">
                <a:noFill/>
              </a:ln>
              <a:effectLst/>
            </c:spPr>
            <c:extLst>
              <c:ext xmlns:c16="http://schemas.microsoft.com/office/drawing/2014/chart" uri="{C3380CC4-5D6E-409C-BE32-E72D297353CC}">
                <c16:uniqueId val="{00000003-C5EF-434C-909C-FFC8DBBBF4E9}"/>
              </c:ext>
            </c:extLst>
          </c:dPt>
          <c:val>
            <c:numRef>
              <c:f>Salary!$F$19:$G$19</c:f>
              <c:numCache>
                <c:formatCode>General</c:formatCode>
                <c:ptCount val="2"/>
                <c:pt idx="0">
                  <c:v>37</c:v>
                </c:pt>
                <c:pt idx="1">
                  <c:v>71.75</c:v>
                </c:pt>
              </c:numCache>
            </c:numRef>
          </c:val>
          <c:extLst>
            <c:ext xmlns:c16="http://schemas.microsoft.com/office/drawing/2014/chart" uri="{C3380CC4-5D6E-409C-BE32-E72D297353CC}">
              <c16:uniqueId val="{00000004-C5EF-434C-909C-FFC8DBBBF4E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Salary!$E$20</c:f>
              <c:strCache>
                <c:ptCount val="1"/>
                <c:pt idx="0">
                  <c:v>Very Low</c:v>
                </c:pt>
              </c:strCache>
            </c:strRef>
          </c:tx>
          <c:spPr>
            <a:ln>
              <a:noFill/>
            </a:ln>
          </c:spPr>
          <c:dPt>
            <c:idx val="0"/>
            <c:bubble3D val="0"/>
            <c:spPr>
              <a:solidFill>
                <a:srgbClr val="F06813"/>
              </a:solidFill>
              <a:ln w="19050">
                <a:noFill/>
              </a:ln>
              <a:effectLst/>
            </c:spPr>
            <c:extLst>
              <c:ext xmlns:c16="http://schemas.microsoft.com/office/drawing/2014/chart" uri="{C3380CC4-5D6E-409C-BE32-E72D297353CC}">
                <c16:uniqueId val="{00000001-A28F-466C-9BF9-B69C80029214}"/>
              </c:ext>
            </c:extLst>
          </c:dPt>
          <c:dPt>
            <c:idx val="1"/>
            <c:bubble3D val="0"/>
            <c:explosion val="1"/>
            <c:spPr>
              <a:solidFill>
                <a:srgbClr val="0A0F27"/>
              </a:solidFill>
              <a:ln w="19050">
                <a:noFill/>
              </a:ln>
              <a:effectLst/>
            </c:spPr>
            <c:extLst>
              <c:ext xmlns:c16="http://schemas.microsoft.com/office/drawing/2014/chart" uri="{C3380CC4-5D6E-409C-BE32-E72D297353CC}">
                <c16:uniqueId val="{00000003-A28F-466C-9BF9-B69C80029214}"/>
              </c:ext>
            </c:extLst>
          </c:dPt>
          <c:val>
            <c:numRef>
              <c:f>Salary!$F$20:$G$20</c:f>
              <c:numCache>
                <c:formatCode>General</c:formatCode>
                <c:ptCount val="2"/>
                <c:pt idx="0">
                  <c:v>24</c:v>
                </c:pt>
                <c:pt idx="1">
                  <c:v>84.75</c:v>
                </c:pt>
              </c:numCache>
            </c:numRef>
          </c:val>
          <c:extLst>
            <c:ext xmlns:c16="http://schemas.microsoft.com/office/drawing/2014/chart" uri="{C3380CC4-5D6E-409C-BE32-E72D297353CC}">
              <c16:uniqueId val="{00000004-A28F-466C-9BF9-B69C8002921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Salary!$E$17</c:f>
              <c:strCache>
                <c:ptCount val="1"/>
                <c:pt idx="0">
                  <c:v>Low</c:v>
                </c:pt>
              </c:strCache>
            </c:strRef>
          </c:tx>
          <c:spPr>
            <a:ln>
              <a:noFill/>
            </a:ln>
          </c:spPr>
          <c:dPt>
            <c:idx val="0"/>
            <c:bubble3D val="0"/>
            <c:spPr>
              <a:solidFill>
                <a:srgbClr val="5D27B6"/>
              </a:solidFill>
              <a:ln w="19050">
                <a:noFill/>
              </a:ln>
              <a:effectLst/>
            </c:spPr>
            <c:extLst>
              <c:ext xmlns:c16="http://schemas.microsoft.com/office/drawing/2014/chart" uri="{C3380CC4-5D6E-409C-BE32-E72D297353CC}">
                <c16:uniqueId val="{00000001-5C37-426A-BB92-587BCEFC8B24}"/>
              </c:ext>
            </c:extLst>
          </c:dPt>
          <c:dPt>
            <c:idx val="1"/>
            <c:bubble3D val="0"/>
            <c:spPr>
              <a:solidFill>
                <a:srgbClr val="0A0F27"/>
              </a:solidFill>
              <a:ln w="19050">
                <a:noFill/>
              </a:ln>
              <a:effectLst/>
            </c:spPr>
            <c:extLst>
              <c:ext xmlns:c16="http://schemas.microsoft.com/office/drawing/2014/chart" uri="{C3380CC4-5D6E-409C-BE32-E72D297353CC}">
                <c16:uniqueId val="{00000003-5C37-426A-BB92-587BCEFC8B24}"/>
              </c:ext>
            </c:extLst>
          </c:dPt>
          <c:val>
            <c:numRef>
              <c:f>Salary!$F$17:$G$17</c:f>
              <c:numCache>
                <c:formatCode>General</c:formatCode>
                <c:ptCount val="2"/>
                <c:pt idx="0">
                  <c:v>87</c:v>
                </c:pt>
                <c:pt idx="1">
                  <c:v>21.75</c:v>
                </c:pt>
              </c:numCache>
            </c:numRef>
          </c:val>
          <c:extLst>
            <c:ext xmlns:c16="http://schemas.microsoft.com/office/drawing/2014/chart" uri="{C3380CC4-5D6E-409C-BE32-E72D297353CC}">
              <c16:uniqueId val="{00000004-5C37-426A-BB92-587BCEFC8B2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C3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Satisfaction!$E$16</c:f>
              <c:strCache>
                <c:ptCount val="1"/>
                <c:pt idx="0">
                  <c:v>Highly Dissatisfied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38-40BB-8058-1FBB9E66C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38-40BB-8058-1FBB9E66CE2E}"/>
              </c:ext>
            </c:extLst>
          </c:dPt>
          <c:val>
            <c:numRef>
              <c:f>Satisfaction!$F$16:$G$16</c:f>
              <c:numCache>
                <c:formatCode>General</c:formatCode>
                <c:ptCount val="2"/>
                <c:pt idx="0">
                  <c:v>3</c:v>
                </c:pt>
                <c:pt idx="1">
                  <c:v>142</c:v>
                </c:pt>
              </c:numCache>
            </c:numRef>
          </c:val>
          <c:extLst>
            <c:ext xmlns:c16="http://schemas.microsoft.com/office/drawing/2014/chart" uri="{C3380CC4-5D6E-409C-BE32-E72D297353CC}">
              <c16:uniqueId val="{00000000-F9F1-46F4-810B-0E7CE2CC7848}"/>
            </c:ext>
          </c:extLst>
        </c:ser>
        <c:ser>
          <c:idx val="1"/>
          <c:order val="1"/>
          <c:tx>
            <c:strRef>
              <c:f>Satisfaction!$E$17</c:f>
              <c:strCache>
                <c:ptCount val="1"/>
                <c:pt idx="0">
                  <c:v>Highly Satisfied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A38-40BB-8058-1FBB9E66C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A38-40BB-8058-1FBB9E66CE2E}"/>
              </c:ext>
            </c:extLst>
          </c:dPt>
          <c:val>
            <c:numRef>
              <c:f>Satisfaction!$F$17:$G$17</c:f>
              <c:numCache>
                <c:formatCode>General</c:formatCode>
                <c:ptCount val="2"/>
                <c:pt idx="0">
                  <c:v>4</c:v>
                </c:pt>
                <c:pt idx="1">
                  <c:v>141</c:v>
                </c:pt>
              </c:numCache>
            </c:numRef>
          </c:val>
          <c:extLst>
            <c:ext xmlns:c16="http://schemas.microsoft.com/office/drawing/2014/chart" uri="{C3380CC4-5D6E-409C-BE32-E72D297353CC}">
              <c16:uniqueId val="{00000001-F9F1-46F4-810B-0E7CE2CC7848}"/>
            </c:ext>
          </c:extLst>
        </c:ser>
        <c:ser>
          <c:idx val="2"/>
          <c:order val="2"/>
          <c:tx>
            <c:strRef>
              <c:f>Satisfaction!$E$18</c:f>
              <c:strCache>
                <c:ptCount val="1"/>
                <c:pt idx="0">
                  <c:v>Satisfied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A38-40BB-8058-1FBB9E66C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A38-40BB-8058-1FBB9E66CE2E}"/>
              </c:ext>
            </c:extLst>
          </c:dPt>
          <c:val>
            <c:numRef>
              <c:f>Satisfaction!$F$18:$G$18</c:f>
              <c:numCache>
                <c:formatCode>General</c:formatCode>
                <c:ptCount val="2"/>
                <c:pt idx="0">
                  <c:v>43</c:v>
                </c:pt>
                <c:pt idx="1">
                  <c:v>102</c:v>
                </c:pt>
              </c:numCache>
            </c:numRef>
          </c:val>
          <c:extLst>
            <c:ext xmlns:c16="http://schemas.microsoft.com/office/drawing/2014/chart" uri="{C3380CC4-5D6E-409C-BE32-E72D297353CC}">
              <c16:uniqueId val="{00000005-F9F1-46F4-810B-0E7CE2CC7848}"/>
            </c:ext>
          </c:extLst>
        </c:ser>
        <c:ser>
          <c:idx val="3"/>
          <c:order val="3"/>
          <c:tx>
            <c:strRef>
              <c:f>Satisfaction!$E$19</c:f>
              <c:strCache>
                <c:ptCount val="1"/>
                <c:pt idx="0">
                  <c:v>Dissatisfied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1A38-40BB-8058-1FBB9E66C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1A38-40BB-8058-1FBB9E66CE2E}"/>
              </c:ext>
            </c:extLst>
          </c:dPt>
          <c:val>
            <c:numRef>
              <c:f>Satisfaction!$F$19:$G$19</c:f>
              <c:numCache>
                <c:formatCode>General</c:formatCode>
                <c:ptCount val="2"/>
                <c:pt idx="0">
                  <c:v>68</c:v>
                </c:pt>
                <c:pt idx="1">
                  <c:v>77</c:v>
                </c:pt>
              </c:numCache>
            </c:numRef>
          </c:val>
          <c:extLst>
            <c:ext xmlns:c16="http://schemas.microsoft.com/office/drawing/2014/chart" uri="{C3380CC4-5D6E-409C-BE32-E72D297353CC}">
              <c16:uniqueId val="{00000006-F9F1-46F4-810B-0E7CE2CC7848}"/>
            </c:ext>
          </c:extLst>
        </c:ser>
        <c:ser>
          <c:idx val="4"/>
          <c:order val="4"/>
          <c:tx>
            <c:strRef>
              <c:f>Satisfaction!$E$20</c:f>
              <c:strCache>
                <c:ptCount val="1"/>
                <c:pt idx="0">
                  <c:v>Average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A38-40BB-8058-1FBB9E66C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A38-40BB-8058-1FBB9E66CE2E}"/>
              </c:ext>
            </c:extLst>
          </c:dPt>
          <c:val>
            <c:numRef>
              <c:f>Satisfaction!$F$20:$G$20</c:f>
              <c:numCache>
                <c:formatCode>General</c:formatCode>
                <c:ptCount val="2"/>
                <c:pt idx="0">
                  <c:v>116</c:v>
                </c:pt>
                <c:pt idx="1">
                  <c:v>29</c:v>
                </c:pt>
              </c:numCache>
            </c:numRef>
          </c:val>
          <c:extLst>
            <c:ext xmlns:c16="http://schemas.microsoft.com/office/drawing/2014/chart" uri="{C3380CC4-5D6E-409C-BE32-E72D297353CC}">
              <c16:uniqueId val="{00000007-F9F1-46F4-810B-0E7CE2CC78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79400">
        <a:schemeClr val="accent1">
          <a:alpha val="40000"/>
        </a:schemeClr>
      </a:glow>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Salary!$E$17</c:f>
              <c:strCache>
                <c:ptCount val="1"/>
                <c:pt idx="0">
                  <c:v>Low</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62-4A99-BAEF-7BEB74496A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62-4A99-BAEF-7BEB74496AEF}"/>
              </c:ext>
            </c:extLst>
          </c:dPt>
          <c:val>
            <c:numRef>
              <c:f>Salary!$F$17:$G$17</c:f>
              <c:numCache>
                <c:formatCode>General</c:formatCode>
                <c:ptCount val="2"/>
                <c:pt idx="0">
                  <c:v>87</c:v>
                </c:pt>
                <c:pt idx="1">
                  <c:v>21.75</c:v>
                </c:pt>
              </c:numCache>
            </c:numRef>
          </c:val>
          <c:extLst>
            <c:ext xmlns:c16="http://schemas.microsoft.com/office/drawing/2014/chart" uri="{C3380CC4-5D6E-409C-BE32-E72D297353CC}">
              <c16:uniqueId val="{00000000-E8D0-43A9-9699-0AE9049D4D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Salary!$E$18</c:f>
              <c:strCache>
                <c:ptCount val="1"/>
                <c:pt idx="0">
                  <c:v>Average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ED-478F-A545-55EC48C79D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ED-478F-A545-55EC48C79D11}"/>
              </c:ext>
            </c:extLst>
          </c:dPt>
          <c:val>
            <c:numRef>
              <c:f>Salary!$F$18:$G$18</c:f>
              <c:numCache>
                <c:formatCode>General</c:formatCode>
                <c:ptCount val="2"/>
                <c:pt idx="0">
                  <c:v>86</c:v>
                </c:pt>
                <c:pt idx="1">
                  <c:v>22.75</c:v>
                </c:pt>
              </c:numCache>
            </c:numRef>
          </c:val>
          <c:extLst>
            <c:ext xmlns:c16="http://schemas.microsoft.com/office/drawing/2014/chart" uri="{C3380CC4-5D6E-409C-BE32-E72D297353CC}">
              <c16:uniqueId val="{00000000-C065-4124-B31A-4504655669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Salary!$E$19</c:f>
              <c:strCache>
                <c:ptCount val="1"/>
                <c:pt idx="0">
                  <c:v>Very High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C-4A6B-904F-9635612462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C-4A6B-904F-96356124623C}"/>
              </c:ext>
            </c:extLst>
          </c:dPt>
          <c:val>
            <c:numRef>
              <c:f>Salary!$F$19:$G$19</c:f>
              <c:numCache>
                <c:formatCode>General</c:formatCode>
                <c:ptCount val="2"/>
                <c:pt idx="0">
                  <c:v>37</c:v>
                </c:pt>
                <c:pt idx="1">
                  <c:v>71.75</c:v>
                </c:pt>
              </c:numCache>
            </c:numRef>
          </c:val>
          <c:extLst>
            <c:ext xmlns:c16="http://schemas.microsoft.com/office/drawing/2014/chart" uri="{C3380CC4-5D6E-409C-BE32-E72D297353CC}">
              <c16:uniqueId val="{00000000-EAFA-4B34-AB2D-8E0617822C3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Salary!$E$20</c:f>
              <c:strCache>
                <c:ptCount val="1"/>
                <c:pt idx="0">
                  <c:v>Very Low</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AD-4E47-8240-05486EBB7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AD-4E47-8240-05486EBB7656}"/>
              </c:ext>
            </c:extLst>
          </c:dPt>
          <c:val>
            <c:numRef>
              <c:f>Salary!$F$20:$G$20</c:f>
              <c:numCache>
                <c:formatCode>General</c:formatCode>
                <c:ptCount val="2"/>
                <c:pt idx="0">
                  <c:v>24</c:v>
                </c:pt>
                <c:pt idx="1">
                  <c:v>84.75</c:v>
                </c:pt>
              </c:numCache>
            </c:numRef>
          </c:val>
          <c:extLst>
            <c:ext xmlns:c16="http://schemas.microsoft.com/office/drawing/2014/chart" uri="{C3380CC4-5D6E-409C-BE32-E72D297353CC}">
              <c16:uniqueId val="{00000000-AD65-4C6E-879D-0E4CF7DE5F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Sheet4!$E$15:$E$19</c:f>
              <c:strCache>
                <c:ptCount val="5"/>
                <c:pt idx="0">
                  <c:v>26-30 years</c:v>
                </c:pt>
                <c:pt idx="1">
                  <c:v>31-35 years</c:v>
                </c:pt>
                <c:pt idx="2">
                  <c:v>36-40 years</c:v>
                </c:pt>
                <c:pt idx="3">
                  <c:v>41-45 years</c:v>
                </c:pt>
                <c:pt idx="4">
                  <c:v>46-50 years</c:v>
                </c:pt>
              </c:strCache>
            </c:strRef>
          </c:cat>
          <c:val>
            <c:numRef>
              <c:f>Sheet4!$F$15:$F$19</c:f>
              <c:numCache>
                <c:formatCode>General</c:formatCode>
                <c:ptCount val="5"/>
                <c:pt idx="0">
                  <c:v>65</c:v>
                </c:pt>
                <c:pt idx="1">
                  <c:v>91</c:v>
                </c:pt>
                <c:pt idx="2">
                  <c:v>57</c:v>
                </c:pt>
                <c:pt idx="3">
                  <c:v>20</c:v>
                </c:pt>
                <c:pt idx="4">
                  <c:v>1</c:v>
                </c:pt>
              </c:numCache>
            </c:numRef>
          </c:val>
          <c:extLst>
            <c:ext xmlns:c16="http://schemas.microsoft.com/office/drawing/2014/chart" uri="{C3380CC4-5D6E-409C-BE32-E72D297353CC}">
              <c16:uniqueId val="{00000000-81E0-4B9F-9E6B-52365E948DB1}"/>
            </c:ext>
          </c:extLst>
        </c:ser>
        <c:dLbls>
          <c:dLblPos val="outEnd"/>
          <c:showLegendKey val="0"/>
          <c:showVal val="1"/>
          <c:showCatName val="0"/>
          <c:showSerName val="0"/>
          <c:showPercent val="0"/>
          <c:showBubbleSize val="0"/>
        </c:dLbls>
        <c:gapWidth val="219"/>
        <c:overlap val="-27"/>
        <c:axId val="332371103"/>
        <c:axId val="332368703"/>
      </c:barChart>
      <c:catAx>
        <c:axId val="33237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68703"/>
        <c:crosses val="autoZero"/>
        <c:auto val="1"/>
        <c:lblAlgn val="ctr"/>
        <c:lblOffset val="100"/>
        <c:noMultiLvlLbl val="0"/>
      </c:catAx>
      <c:valAx>
        <c:axId val="332368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7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Gender!$E$12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Gender!$F$12</c:f>
              <c:numCache>
                <c:formatCode>General</c:formatCode>
                <c:ptCount val="1"/>
                <c:pt idx="0">
                  <c:v>111</c:v>
                </c:pt>
              </c:numCache>
            </c:numRef>
          </c:val>
          <c:extLst>
            <c:ext xmlns:c16="http://schemas.microsoft.com/office/drawing/2014/chart" uri="{C3380CC4-5D6E-409C-BE32-E72D297353CC}">
              <c16:uniqueId val="{00000000-5221-4BF2-BA15-74A06618E7A5}"/>
            </c:ext>
          </c:extLst>
        </c:ser>
        <c:ser>
          <c:idx val="1"/>
          <c:order val="1"/>
          <c:tx>
            <c:strRef>
              <c:f>Gender!$E$13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Gender!$F$13</c:f>
              <c:numCache>
                <c:formatCode>General</c:formatCode>
                <c:ptCount val="1"/>
                <c:pt idx="0">
                  <c:v>123</c:v>
                </c:pt>
              </c:numCache>
            </c:numRef>
          </c:val>
          <c:extLst>
            <c:ext xmlns:c16="http://schemas.microsoft.com/office/drawing/2014/chart" uri="{C3380CC4-5D6E-409C-BE32-E72D297353CC}">
              <c16:uniqueId val="{00000001-5221-4BF2-BA15-74A06618E7A5}"/>
            </c:ext>
          </c:extLst>
        </c:ser>
        <c:dLbls>
          <c:dLblPos val="ctr"/>
          <c:showLegendKey val="0"/>
          <c:showVal val="1"/>
          <c:showCatName val="0"/>
          <c:showSerName val="0"/>
          <c:showPercent val="0"/>
          <c:showBubbleSize val="0"/>
        </c:dLbls>
        <c:gapWidth val="150"/>
        <c:overlap val="100"/>
        <c:axId val="33343519"/>
        <c:axId val="33342079"/>
      </c:barChart>
      <c:catAx>
        <c:axId val="33343519"/>
        <c:scaling>
          <c:orientation val="minMax"/>
        </c:scaling>
        <c:delete val="1"/>
        <c:axPos val="l"/>
        <c:numFmt formatCode="General" sourceLinked="1"/>
        <c:majorTickMark val="out"/>
        <c:minorTickMark val="none"/>
        <c:tickLblPos val="nextTo"/>
        <c:crossAx val="33342079"/>
        <c:crosses val="autoZero"/>
        <c:auto val="1"/>
        <c:lblAlgn val="ctr"/>
        <c:lblOffset val="100"/>
        <c:noMultiLvlLbl val="0"/>
      </c:catAx>
      <c:valAx>
        <c:axId val="33342079"/>
        <c:scaling>
          <c:orientation val="minMax"/>
        </c:scaling>
        <c:delete val="1"/>
        <c:axPos val="b"/>
        <c:numFmt formatCode="0%" sourceLinked="1"/>
        <c:majorTickMark val="out"/>
        <c:minorTickMark val="none"/>
        <c:tickLblPos val="nextTo"/>
        <c:crossAx val="3334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Dept!$E$18:$E$23</c:f>
              <c:strCache>
                <c:ptCount val="6"/>
                <c:pt idx="0">
                  <c:v>HR</c:v>
                </c:pt>
                <c:pt idx="1">
                  <c:v>FN</c:v>
                </c:pt>
                <c:pt idx="2">
                  <c:v>SL</c:v>
                </c:pt>
                <c:pt idx="3">
                  <c:v>MK</c:v>
                </c:pt>
                <c:pt idx="4">
                  <c:v>IT</c:v>
                </c:pt>
                <c:pt idx="5">
                  <c:v>EN</c:v>
                </c:pt>
              </c:strCache>
            </c:strRef>
          </c:cat>
          <c:val>
            <c:numRef>
              <c:f>Dept!$F$18:$F$23</c:f>
              <c:numCache>
                <c:formatCode>General</c:formatCode>
                <c:ptCount val="6"/>
                <c:pt idx="0">
                  <c:v>49</c:v>
                </c:pt>
                <c:pt idx="1">
                  <c:v>46</c:v>
                </c:pt>
                <c:pt idx="2">
                  <c:v>44</c:v>
                </c:pt>
                <c:pt idx="3">
                  <c:v>41</c:v>
                </c:pt>
                <c:pt idx="4">
                  <c:v>36</c:v>
                </c:pt>
                <c:pt idx="5">
                  <c:v>18</c:v>
                </c:pt>
              </c:numCache>
            </c:numRef>
          </c:val>
          <c:extLst>
            <c:ext xmlns:c16="http://schemas.microsoft.com/office/drawing/2014/chart" uri="{C3380CC4-5D6E-409C-BE32-E72D297353CC}">
              <c16:uniqueId val="{00000000-BDFC-4098-8C47-9BD96AAB51D6}"/>
            </c:ext>
          </c:extLst>
        </c:ser>
        <c:dLbls>
          <c:dLblPos val="inEnd"/>
          <c:showLegendKey val="0"/>
          <c:showVal val="1"/>
          <c:showCatName val="0"/>
          <c:showSerName val="0"/>
          <c:showPercent val="0"/>
          <c:showBubbleSize val="0"/>
        </c:dLbls>
        <c:gapWidth val="150"/>
        <c:overlap val="100"/>
        <c:axId val="564211375"/>
        <c:axId val="564206575"/>
      </c:barChart>
      <c:catAx>
        <c:axId val="56421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06575"/>
        <c:crosses val="autoZero"/>
        <c:auto val="1"/>
        <c:lblAlgn val="ctr"/>
        <c:lblOffset val="100"/>
        <c:noMultiLvlLbl val="0"/>
      </c:catAx>
      <c:valAx>
        <c:axId val="564206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1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Roles'!$E$16:$E$21</c:f>
              <c:strCache>
                <c:ptCount val="6"/>
                <c:pt idx="0">
                  <c:v>Accountant</c:v>
                </c:pt>
                <c:pt idx="1">
                  <c:v>Sales Rep</c:v>
                </c:pt>
                <c:pt idx="2">
                  <c:v>Manager</c:v>
                </c:pt>
                <c:pt idx="3">
                  <c:v>Analyst</c:v>
                </c:pt>
                <c:pt idx="4">
                  <c:v>Engineer</c:v>
                </c:pt>
                <c:pt idx="5">
                  <c:v>Specialist</c:v>
                </c:pt>
              </c:strCache>
            </c:strRef>
          </c:cat>
          <c:val>
            <c:numRef>
              <c:f>'Job Roles'!$F$16:$F$21</c:f>
              <c:numCache>
                <c:formatCode>General</c:formatCode>
                <c:ptCount val="6"/>
                <c:pt idx="0">
                  <c:v>5</c:v>
                </c:pt>
                <c:pt idx="1">
                  <c:v>23</c:v>
                </c:pt>
                <c:pt idx="2">
                  <c:v>25</c:v>
                </c:pt>
                <c:pt idx="3">
                  <c:v>21</c:v>
                </c:pt>
                <c:pt idx="4">
                  <c:v>51</c:v>
                </c:pt>
                <c:pt idx="5">
                  <c:v>86</c:v>
                </c:pt>
              </c:numCache>
            </c:numRef>
          </c:val>
          <c:extLst>
            <c:ext xmlns:c16="http://schemas.microsoft.com/office/drawing/2014/chart" uri="{C3380CC4-5D6E-409C-BE32-E72D297353CC}">
              <c16:uniqueId val="{00000000-4501-4206-8758-C7B30107B390}"/>
            </c:ext>
          </c:extLst>
        </c:ser>
        <c:dLbls>
          <c:dLblPos val="outEnd"/>
          <c:showLegendKey val="0"/>
          <c:showVal val="1"/>
          <c:showCatName val="0"/>
          <c:showSerName val="0"/>
          <c:showPercent val="0"/>
          <c:showBubbleSize val="0"/>
        </c:dLbls>
        <c:gapWidth val="182"/>
        <c:axId val="336760463"/>
        <c:axId val="336760943"/>
      </c:barChart>
      <c:catAx>
        <c:axId val="336760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60943"/>
        <c:crosses val="autoZero"/>
        <c:auto val="1"/>
        <c:lblAlgn val="ctr"/>
        <c:lblOffset val="100"/>
        <c:noMultiLvlLbl val="0"/>
      </c:catAx>
      <c:valAx>
        <c:axId val="336760943"/>
        <c:scaling>
          <c:orientation val="minMax"/>
        </c:scaling>
        <c:delete val="1"/>
        <c:axPos val="b"/>
        <c:numFmt formatCode="General" sourceLinked="1"/>
        <c:majorTickMark val="none"/>
        <c:minorTickMark val="none"/>
        <c:tickLblPos val="nextTo"/>
        <c:crossAx val="33676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YOS!$F$25:$F$39</c:f>
              <c:numCache>
                <c:formatCode>General</c:formatCode>
                <c:ptCount val="15"/>
                <c:pt idx="0">
                  <c:v>39</c:v>
                </c:pt>
                <c:pt idx="1">
                  <c:v>64</c:v>
                </c:pt>
                <c:pt idx="2">
                  <c:v>101</c:v>
                </c:pt>
                <c:pt idx="3">
                  <c:v>87</c:v>
                </c:pt>
                <c:pt idx="4">
                  <c:v>144</c:v>
                </c:pt>
                <c:pt idx="5">
                  <c:v>102</c:v>
                </c:pt>
                <c:pt idx="6">
                  <c:v>100</c:v>
                </c:pt>
                <c:pt idx="7">
                  <c:v>45</c:v>
                </c:pt>
                <c:pt idx="8">
                  <c:v>32</c:v>
                </c:pt>
                <c:pt idx="9">
                  <c:v>37</c:v>
                </c:pt>
                <c:pt idx="10">
                  <c:v>12</c:v>
                </c:pt>
                <c:pt idx="11">
                  <c:v>5</c:v>
                </c:pt>
                <c:pt idx="12">
                  <c:v>2</c:v>
                </c:pt>
                <c:pt idx="13">
                  <c:v>9</c:v>
                </c:pt>
                <c:pt idx="14">
                  <c:v>1</c:v>
                </c:pt>
              </c:numCache>
            </c:numRef>
          </c:val>
          <c:smooth val="0"/>
          <c:extLst>
            <c:ext xmlns:c16="http://schemas.microsoft.com/office/drawing/2014/chart" uri="{C3380CC4-5D6E-409C-BE32-E72D297353CC}">
              <c16:uniqueId val="{00000000-377C-4573-BD9F-22FFDDABC421}"/>
            </c:ext>
          </c:extLst>
        </c:ser>
        <c:dLbls>
          <c:showLegendKey val="0"/>
          <c:showVal val="0"/>
          <c:showCatName val="0"/>
          <c:showSerName val="0"/>
          <c:showPercent val="0"/>
          <c:showBubbleSize val="0"/>
        </c:dLbls>
        <c:smooth val="0"/>
        <c:axId val="615695343"/>
        <c:axId val="615696303"/>
      </c:lineChart>
      <c:catAx>
        <c:axId val="6156953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96303"/>
        <c:crosses val="autoZero"/>
        <c:auto val="1"/>
        <c:lblAlgn val="ctr"/>
        <c:lblOffset val="100"/>
        <c:noMultiLvlLbl val="0"/>
      </c:catAx>
      <c:valAx>
        <c:axId val="615696303"/>
        <c:scaling>
          <c:orientation val="minMax"/>
        </c:scaling>
        <c:delete val="1"/>
        <c:axPos val="l"/>
        <c:numFmt formatCode="General" sourceLinked="1"/>
        <c:majorTickMark val="out"/>
        <c:minorTickMark val="none"/>
        <c:tickLblPos val="nextTo"/>
        <c:crossAx val="61569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Performance!$E$16:$E$20</c:f>
              <c:strCache>
                <c:ptCount val="5"/>
                <c:pt idx="0">
                  <c:v>Good</c:v>
                </c:pt>
                <c:pt idx="1">
                  <c:v>Above Average</c:v>
                </c:pt>
                <c:pt idx="2">
                  <c:v>Below Average</c:v>
                </c:pt>
                <c:pt idx="3">
                  <c:v>Average</c:v>
                </c:pt>
                <c:pt idx="4">
                  <c:v>Poor</c:v>
                </c:pt>
              </c:strCache>
            </c:strRef>
          </c:cat>
          <c:val>
            <c:numRef>
              <c:f>Performance!$F$16:$F$20</c:f>
              <c:numCache>
                <c:formatCode>General</c:formatCode>
                <c:ptCount val="5"/>
                <c:pt idx="0">
                  <c:v>11</c:v>
                </c:pt>
                <c:pt idx="1">
                  <c:v>20</c:v>
                </c:pt>
                <c:pt idx="2">
                  <c:v>57</c:v>
                </c:pt>
                <c:pt idx="3">
                  <c:v>70</c:v>
                </c:pt>
                <c:pt idx="4">
                  <c:v>76</c:v>
                </c:pt>
              </c:numCache>
            </c:numRef>
          </c:val>
          <c:extLst>
            <c:ext xmlns:c16="http://schemas.microsoft.com/office/drawing/2014/chart" uri="{C3380CC4-5D6E-409C-BE32-E72D297353CC}">
              <c16:uniqueId val="{00000000-12D9-4DBB-8CD9-B8C9C2631810}"/>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Performance!$E$16:$E$20</c:f>
              <c:strCache>
                <c:ptCount val="5"/>
                <c:pt idx="0">
                  <c:v>Good</c:v>
                </c:pt>
                <c:pt idx="1">
                  <c:v>Above Average</c:v>
                </c:pt>
                <c:pt idx="2">
                  <c:v>Below Average</c:v>
                </c:pt>
                <c:pt idx="3">
                  <c:v>Average</c:v>
                </c:pt>
                <c:pt idx="4">
                  <c:v>Poor</c:v>
                </c:pt>
              </c:strCache>
            </c:strRef>
          </c:cat>
          <c:val>
            <c:numRef>
              <c:f>Performance!$G$16:$G$20</c:f>
              <c:numCache>
                <c:formatCode>General</c:formatCode>
                <c:ptCount val="5"/>
                <c:pt idx="0">
                  <c:v>84</c:v>
                </c:pt>
                <c:pt idx="1">
                  <c:v>75</c:v>
                </c:pt>
                <c:pt idx="2">
                  <c:v>38</c:v>
                </c:pt>
                <c:pt idx="3">
                  <c:v>25</c:v>
                </c:pt>
                <c:pt idx="4">
                  <c:v>19</c:v>
                </c:pt>
              </c:numCache>
            </c:numRef>
          </c:val>
          <c:extLst>
            <c:ext xmlns:c16="http://schemas.microsoft.com/office/drawing/2014/chart" uri="{C3380CC4-5D6E-409C-BE32-E72D297353CC}">
              <c16:uniqueId val="{00000001-12D9-4DBB-8CD9-B8C9C2631810}"/>
            </c:ext>
          </c:extLst>
        </c:ser>
        <c:dLbls>
          <c:dLblPos val="ctr"/>
          <c:showLegendKey val="0"/>
          <c:showVal val="1"/>
          <c:showCatName val="0"/>
          <c:showSerName val="0"/>
          <c:showPercent val="0"/>
          <c:showBubbleSize val="0"/>
        </c:dLbls>
        <c:gapWidth val="150"/>
        <c:overlap val="100"/>
        <c:axId val="615687663"/>
        <c:axId val="615691983"/>
      </c:barChart>
      <c:catAx>
        <c:axId val="61568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91983"/>
        <c:crosses val="autoZero"/>
        <c:auto val="1"/>
        <c:lblAlgn val="ctr"/>
        <c:lblOffset val="100"/>
        <c:noMultiLvlLbl val="0"/>
      </c:catAx>
      <c:valAx>
        <c:axId val="615691983"/>
        <c:scaling>
          <c:orientation val="minMax"/>
        </c:scaling>
        <c:delete val="1"/>
        <c:axPos val="b"/>
        <c:numFmt formatCode="General" sourceLinked="1"/>
        <c:majorTickMark val="none"/>
        <c:minorTickMark val="none"/>
        <c:tickLblPos val="nextTo"/>
        <c:crossAx val="6156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21" Type="http://schemas.openxmlformats.org/officeDocument/2006/relationships/chart" Target="../charts/chart9.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24" Type="http://schemas.openxmlformats.org/officeDocument/2006/relationships/chart" Target="../charts/chart12.xml"/><Relationship Id="rId5" Type="http://schemas.openxmlformats.org/officeDocument/2006/relationships/chart" Target="../charts/chart5.xml"/><Relationship Id="rId15" Type="http://schemas.openxmlformats.org/officeDocument/2006/relationships/image" Target="../media/image8.svg"/><Relationship Id="rId23" Type="http://schemas.openxmlformats.org/officeDocument/2006/relationships/chart" Target="../charts/chart11.xml"/><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chart" Target="../charts/chart10.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15</xdr:col>
      <xdr:colOff>36755</xdr:colOff>
      <xdr:row>0</xdr:row>
      <xdr:rowOff>114750</xdr:rowOff>
    </xdr:from>
    <xdr:to>
      <xdr:col>23</xdr:col>
      <xdr:colOff>173915</xdr:colOff>
      <xdr:row>17</xdr:row>
      <xdr:rowOff>160470</xdr:rowOff>
    </xdr:to>
    <xdr:grpSp>
      <xdr:nvGrpSpPr>
        <xdr:cNvPr id="21" name="Group 20">
          <a:extLst>
            <a:ext uri="{FF2B5EF4-FFF2-40B4-BE49-F238E27FC236}">
              <a16:creationId xmlns:a16="http://schemas.microsoft.com/office/drawing/2014/main" id="{CFCB4BA9-85FE-2B4C-F023-BCF8BE9D2ED3}"/>
            </a:ext>
          </a:extLst>
        </xdr:cNvPr>
        <xdr:cNvGrpSpPr/>
      </xdr:nvGrpSpPr>
      <xdr:grpSpPr>
        <a:xfrm>
          <a:off x="9180755" y="114750"/>
          <a:ext cx="5013960" cy="3154680"/>
          <a:chOff x="9144895" y="38100"/>
          <a:chExt cx="5013960" cy="2987040"/>
        </a:xfrm>
      </xdr:grpSpPr>
      <xdr:sp macro="" textlink="">
        <xdr:nvSpPr>
          <xdr:cNvPr id="2" name="Rectangle: Rounded Corners 1">
            <a:extLst>
              <a:ext uri="{FF2B5EF4-FFF2-40B4-BE49-F238E27FC236}">
                <a16:creationId xmlns:a16="http://schemas.microsoft.com/office/drawing/2014/main" id="{C4DFABD2-8E78-C810-648C-97A26B4F5619}"/>
              </a:ext>
            </a:extLst>
          </xdr:cNvPr>
          <xdr:cNvSpPr/>
        </xdr:nvSpPr>
        <xdr:spPr>
          <a:xfrm>
            <a:off x="9144895" y="38100"/>
            <a:ext cx="5013960" cy="2987040"/>
          </a:xfrm>
          <a:prstGeom prst="roundRect">
            <a:avLst>
              <a:gd name="adj" fmla="val 4678"/>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GB" sz="1100"/>
          </a:p>
        </xdr:txBody>
      </xdr:sp>
      <xdr:sp macro="" textlink="">
        <xdr:nvSpPr>
          <xdr:cNvPr id="5" name="Rectangle 4">
            <a:extLst>
              <a:ext uri="{FF2B5EF4-FFF2-40B4-BE49-F238E27FC236}">
                <a16:creationId xmlns:a16="http://schemas.microsoft.com/office/drawing/2014/main" id="{BCCDADA3-7F47-EE5C-4016-36B669A55442}"/>
              </a:ext>
            </a:extLst>
          </xdr:cNvPr>
          <xdr:cNvSpPr/>
        </xdr:nvSpPr>
        <xdr:spPr>
          <a:xfrm>
            <a:off x="9197340" y="91440"/>
            <a:ext cx="1615440" cy="464820"/>
          </a:xfrm>
          <a:prstGeom prst="rect">
            <a:avLst/>
          </a:prstGeom>
          <a:solidFill>
            <a:srgbClr val="0A0F27"/>
          </a:solidFill>
          <a:ln>
            <a:noFill/>
          </a:ln>
          <a:effectLst>
            <a:glow rad="38100">
              <a:srgbClr val="05DA97">
                <a:alpha val="53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2400" b="1">
                <a:solidFill>
                  <a:srgbClr val="05DA97"/>
                </a:solidFill>
              </a:rPr>
              <a:t>Job Details</a:t>
            </a:r>
          </a:p>
        </xdr:txBody>
      </xdr:sp>
      <xdr:graphicFrame macro="">
        <xdr:nvGraphicFramePr>
          <xdr:cNvPr id="6" name="Chart 5">
            <a:extLst>
              <a:ext uri="{FF2B5EF4-FFF2-40B4-BE49-F238E27FC236}">
                <a16:creationId xmlns:a16="http://schemas.microsoft.com/office/drawing/2014/main" id="{38397364-97B1-4A17-8F25-F95E7658376E}"/>
              </a:ext>
            </a:extLst>
          </xdr:cNvPr>
          <xdr:cNvGraphicFramePr>
            <a:graphicFrameLocks/>
          </xdr:cNvGraphicFramePr>
        </xdr:nvGraphicFramePr>
        <xdr:xfrm>
          <a:off x="9372600" y="1021080"/>
          <a:ext cx="4663440" cy="19050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6">
            <a:extLst>
              <a:ext uri="{FF2B5EF4-FFF2-40B4-BE49-F238E27FC236}">
                <a16:creationId xmlns:a16="http://schemas.microsoft.com/office/drawing/2014/main" id="{3799CA65-AE2D-8D35-01FD-88876EC33CA6}"/>
              </a:ext>
            </a:extLst>
          </xdr:cNvPr>
          <xdr:cNvSpPr/>
        </xdr:nvSpPr>
        <xdr:spPr>
          <a:xfrm>
            <a:off x="9197340" y="571500"/>
            <a:ext cx="1874520" cy="274320"/>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Years of Service</a:t>
            </a:r>
            <a:endParaRPr lang="en-GB" sz="1100">
              <a:solidFill>
                <a:schemeClr val="bg1">
                  <a:lumMod val="50000"/>
                </a:schemeClr>
              </a:solidFill>
            </a:endParaRPr>
          </a:p>
        </xdr:txBody>
      </xdr:sp>
    </xdr:grpSp>
    <xdr:clientData/>
  </xdr:twoCellAnchor>
  <xdr:twoCellAnchor>
    <xdr:from>
      <xdr:col>15</xdr:col>
      <xdr:colOff>16933</xdr:colOff>
      <xdr:row>18</xdr:row>
      <xdr:rowOff>9590</xdr:rowOff>
    </xdr:from>
    <xdr:to>
      <xdr:col>23</xdr:col>
      <xdr:colOff>199813</xdr:colOff>
      <xdr:row>39</xdr:row>
      <xdr:rowOff>168437</xdr:rowOff>
    </xdr:to>
    <xdr:sp macro="" textlink="">
      <xdr:nvSpPr>
        <xdr:cNvPr id="3" name="Rectangle: Rounded Corners 2">
          <a:extLst>
            <a:ext uri="{FF2B5EF4-FFF2-40B4-BE49-F238E27FC236}">
              <a16:creationId xmlns:a16="http://schemas.microsoft.com/office/drawing/2014/main" id="{E95C0DF2-BC7A-4E64-BF74-18BA3A73FE8E}"/>
            </a:ext>
          </a:extLst>
        </xdr:cNvPr>
        <xdr:cNvSpPr/>
      </xdr:nvSpPr>
      <xdr:spPr>
        <a:xfrm>
          <a:off x="9160933" y="3301430"/>
          <a:ext cx="5059680" cy="3999327"/>
        </a:xfrm>
        <a:prstGeom prst="roundRect">
          <a:avLst>
            <a:gd name="adj" fmla="val 1682"/>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53340</xdr:colOff>
      <xdr:row>18</xdr:row>
      <xdr:rowOff>60960</xdr:rowOff>
    </xdr:from>
    <xdr:to>
      <xdr:col>18</xdr:col>
      <xdr:colOff>99060</xdr:colOff>
      <xdr:row>19</xdr:row>
      <xdr:rowOff>152400</xdr:rowOff>
    </xdr:to>
    <xdr:sp macro="" textlink="">
      <xdr:nvSpPr>
        <xdr:cNvPr id="8" name="Rectangle 7">
          <a:extLst>
            <a:ext uri="{FF2B5EF4-FFF2-40B4-BE49-F238E27FC236}">
              <a16:creationId xmlns:a16="http://schemas.microsoft.com/office/drawing/2014/main" id="{18446885-F1A1-4DE0-A908-F1501CA60489}"/>
            </a:ext>
          </a:extLst>
        </xdr:cNvPr>
        <xdr:cNvSpPr/>
      </xdr:nvSpPr>
      <xdr:spPr>
        <a:xfrm>
          <a:off x="9197340" y="3318510"/>
          <a:ext cx="1874520" cy="272415"/>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Salary Range</a:t>
          </a:r>
          <a:endParaRPr lang="en-GB" sz="1100">
            <a:solidFill>
              <a:schemeClr val="bg1">
                <a:lumMod val="50000"/>
              </a:schemeClr>
            </a:solidFill>
          </a:endParaRPr>
        </a:p>
      </xdr:txBody>
    </xdr:sp>
    <xdr:clientData/>
  </xdr:twoCellAnchor>
  <xdr:twoCellAnchor>
    <xdr:from>
      <xdr:col>15</xdr:col>
      <xdr:colOff>108857</xdr:colOff>
      <xdr:row>31</xdr:row>
      <xdr:rowOff>13064</xdr:rowOff>
    </xdr:from>
    <xdr:to>
      <xdr:col>18</xdr:col>
      <xdr:colOff>154577</xdr:colOff>
      <xdr:row>32</xdr:row>
      <xdr:rowOff>104504</xdr:rowOff>
    </xdr:to>
    <xdr:sp macro="" textlink="">
      <xdr:nvSpPr>
        <xdr:cNvPr id="17" name="Rectangle 16">
          <a:extLst>
            <a:ext uri="{FF2B5EF4-FFF2-40B4-BE49-F238E27FC236}">
              <a16:creationId xmlns:a16="http://schemas.microsoft.com/office/drawing/2014/main" id="{356A3EEF-1F9C-48D5-B79B-E187D5CB8DA2}"/>
            </a:ext>
          </a:extLst>
        </xdr:cNvPr>
        <xdr:cNvSpPr/>
      </xdr:nvSpPr>
      <xdr:spPr>
        <a:xfrm>
          <a:off x="9252857" y="5682344"/>
          <a:ext cx="1874520" cy="274320"/>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Department</a:t>
          </a:r>
          <a:endParaRPr lang="en-GB" sz="1100">
            <a:solidFill>
              <a:schemeClr val="bg1">
                <a:lumMod val="50000"/>
              </a:schemeClr>
            </a:solidFill>
          </a:endParaRPr>
        </a:p>
      </xdr:txBody>
    </xdr:sp>
    <xdr:clientData/>
  </xdr:twoCellAnchor>
  <xdr:twoCellAnchor>
    <xdr:from>
      <xdr:col>15</xdr:col>
      <xdr:colOff>91440</xdr:colOff>
      <xdr:row>32</xdr:row>
      <xdr:rowOff>68580</xdr:rowOff>
    </xdr:from>
    <xdr:to>
      <xdr:col>19</xdr:col>
      <xdr:colOff>198120</xdr:colOff>
      <xdr:row>39</xdr:row>
      <xdr:rowOff>116646</xdr:rowOff>
    </xdr:to>
    <xdr:graphicFrame macro="">
      <xdr:nvGraphicFramePr>
        <xdr:cNvPr id="19" name="Chart 18">
          <a:extLst>
            <a:ext uri="{FF2B5EF4-FFF2-40B4-BE49-F238E27FC236}">
              <a16:creationId xmlns:a16="http://schemas.microsoft.com/office/drawing/2014/main" id="{121B73EB-FFEC-4AFF-B091-1A4C2EA5A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189115</xdr:colOff>
      <xdr:row>32</xdr:row>
      <xdr:rowOff>60960</xdr:rowOff>
    </xdr:from>
    <xdr:to>
      <xdr:col>23</xdr:col>
      <xdr:colOff>190500</xdr:colOff>
      <xdr:row>39</xdr:row>
      <xdr:rowOff>114300</xdr:rowOff>
    </xdr:to>
    <xdr:graphicFrame macro="">
      <xdr:nvGraphicFramePr>
        <xdr:cNvPr id="20" name="Chart 19">
          <a:extLst>
            <a:ext uri="{FF2B5EF4-FFF2-40B4-BE49-F238E27FC236}">
              <a16:creationId xmlns:a16="http://schemas.microsoft.com/office/drawing/2014/main" id="{4FF051C3-3F1F-4761-AA61-2368CDA0D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6</xdr:row>
      <xdr:rowOff>175260</xdr:rowOff>
    </xdr:from>
    <xdr:to>
      <xdr:col>14</xdr:col>
      <xdr:colOff>601980</xdr:colOff>
      <xdr:row>23</xdr:row>
      <xdr:rowOff>53340</xdr:rowOff>
    </xdr:to>
    <xdr:grpSp>
      <xdr:nvGrpSpPr>
        <xdr:cNvPr id="61" name="Group 60">
          <a:extLst>
            <a:ext uri="{FF2B5EF4-FFF2-40B4-BE49-F238E27FC236}">
              <a16:creationId xmlns:a16="http://schemas.microsoft.com/office/drawing/2014/main" id="{C54E1561-0B98-3420-74AC-CAE917F26EE5}"/>
            </a:ext>
          </a:extLst>
        </xdr:cNvPr>
        <xdr:cNvGrpSpPr/>
      </xdr:nvGrpSpPr>
      <xdr:grpSpPr>
        <a:xfrm>
          <a:off x="4114800" y="1272540"/>
          <a:ext cx="5021580" cy="2987040"/>
          <a:chOff x="4030980" y="807720"/>
          <a:chExt cx="5021580" cy="2987040"/>
        </a:xfrm>
      </xdr:grpSpPr>
      <xdr:sp macro="" textlink="">
        <xdr:nvSpPr>
          <xdr:cNvPr id="23" name="Rectangle: Rounded Corners 22">
            <a:extLst>
              <a:ext uri="{FF2B5EF4-FFF2-40B4-BE49-F238E27FC236}">
                <a16:creationId xmlns:a16="http://schemas.microsoft.com/office/drawing/2014/main" id="{FF2C7DD5-33B5-36AB-AC36-49F58D57AC67}"/>
              </a:ext>
            </a:extLst>
          </xdr:cNvPr>
          <xdr:cNvSpPr/>
        </xdr:nvSpPr>
        <xdr:spPr>
          <a:xfrm>
            <a:off x="4038600" y="807720"/>
            <a:ext cx="5013960" cy="2987040"/>
          </a:xfrm>
          <a:prstGeom prst="roundRect">
            <a:avLst>
              <a:gd name="adj" fmla="val 1321"/>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4" name="Rectangle 23">
            <a:extLst>
              <a:ext uri="{FF2B5EF4-FFF2-40B4-BE49-F238E27FC236}">
                <a16:creationId xmlns:a16="http://schemas.microsoft.com/office/drawing/2014/main" id="{5D69EA28-EDA1-B6E6-C750-4A35235E9614}"/>
              </a:ext>
            </a:extLst>
          </xdr:cNvPr>
          <xdr:cNvSpPr/>
        </xdr:nvSpPr>
        <xdr:spPr>
          <a:xfrm>
            <a:off x="4081392" y="861060"/>
            <a:ext cx="1615440" cy="464820"/>
          </a:xfrm>
          <a:prstGeom prst="rect">
            <a:avLst/>
          </a:prstGeom>
          <a:solidFill>
            <a:srgbClr val="181C3A">
              <a:alpha val="99000"/>
            </a:srgbClr>
          </a:solidFill>
          <a:ln>
            <a:noFill/>
          </a:ln>
          <a:effectLst>
            <a:glow rad="38100">
              <a:srgbClr val="F06813">
                <a:alpha val="53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ln>
                  <a:noFill/>
                </a:ln>
                <a:solidFill>
                  <a:srgbClr val="F06813"/>
                </a:solidFill>
              </a:rPr>
              <a:t>Ratings</a:t>
            </a:r>
          </a:p>
        </xdr:txBody>
      </xdr:sp>
      <xdr:sp macro="" textlink="">
        <xdr:nvSpPr>
          <xdr:cNvPr id="26" name="Rectangle 25">
            <a:extLst>
              <a:ext uri="{FF2B5EF4-FFF2-40B4-BE49-F238E27FC236}">
                <a16:creationId xmlns:a16="http://schemas.microsoft.com/office/drawing/2014/main" id="{7EA9CD5A-A2F8-7790-CB9E-56E90A3BFF5D}"/>
              </a:ext>
            </a:extLst>
          </xdr:cNvPr>
          <xdr:cNvSpPr/>
        </xdr:nvSpPr>
        <xdr:spPr>
          <a:xfrm>
            <a:off x="4030980" y="1341120"/>
            <a:ext cx="1874520" cy="274320"/>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Performance</a:t>
            </a:r>
            <a:endParaRPr lang="en-GB" sz="1100">
              <a:solidFill>
                <a:schemeClr val="bg1">
                  <a:lumMod val="50000"/>
                </a:schemeClr>
              </a:solidFill>
            </a:endParaRPr>
          </a:p>
        </xdr:txBody>
      </xdr:sp>
      <xdr:graphicFrame macro="">
        <xdr:nvGraphicFramePr>
          <xdr:cNvPr id="44" name="Chart 43">
            <a:extLst>
              <a:ext uri="{FF2B5EF4-FFF2-40B4-BE49-F238E27FC236}">
                <a16:creationId xmlns:a16="http://schemas.microsoft.com/office/drawing/2014/main" id="{D1C4905E-5B73-42D9-A027-201F47112971}"/>
              </a:ext>
            </a:extLst>
          </xdr:cNvPr>
          <xdr:cNvGraphicFramePr>
            <a:graphicFrameLocks/>
          </xdr:cNvGraphicFramePr>
        </xdr:nvGraphicFramePr>
        <xdr:xfrm>
          <a:off x="4099560" y="1676400"/>
          <a:ext cx="4800600" cy="20345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464820</xdr:colOff>
      <xdr:row>23</xdr:row>
      <xdr:rowOff>91440</xdr:rowOff>
    </xdr:from>
    <xdr:to>
      <xdr:col>14</xdr:col>
      <xdr:colOff>601980</xdr:colOff>
      <xdr:row>39</xdr:row>
      <xdr:rowOff>152400</xdr:rowOff>
    </xdr:to>
    <xdr:grpSp>
      <xdr:nvGrpSpPr>
        <xdr:cNvPr id="50" name="Group 49">
          <a:extLst>
            <a:ext uri="{FF2B5EF4-FFF2-40B4-BE49-F238E27FC236}">
              <a16:creationId xmlns:a16="http://schemas.microsoft.com/office/drawing/2014/main" id="{8A8F8BCA-C56C-332F-7916-8112857C082D}"/>
            </a:ext>
          </a:extLst>
        </xdr:cNvPr>
        <xdr:cNvGrpSpPr/>
      </xdr:nvGrpSpPr>
      <xdr:grpSpPr>
        <a:xfrm>
          <a:off x="4122420" y="4297680"/>
          <a:ext cx="5013960" cy="2987040"/>
          <a:chOff x="4023360" y="4030980"/>
          <a:chExt cx="5013960" cy="2987040"/>
        </a:xfrm>
      </xdr:grpSpPr>
      <xdr:sp macro="" textlink="">
        <xdr:nvSpPr>
          <xdr:cNvPr id="28" name="Rectangle: Rounded Corners 27">
            <a:extLst>
              <a:ext uri="{FF2B5EF4-FFF2-40B4-BE49-F238E27FC236}">
                <a16:creationId xmlns:a16="http://schemas.microsoft.com/office/drawing/2014/main" id="{22D03407-7EF4-A241-ECBF-1BD3E14291C8}"/>
              </a:ext>
            </a:extLst>
          </xdr:cNvPr>
          <xdr:cNvSpPr/>
        </xdr:nvSpPr>
        <xdr:spPr>
          <a:xfrm>
            <a:off x="4023360" y="4030980"/>
            <a:ext cx="5013960" cy="2987040"/>
          </a:xfrm>
          <a:prstGeom prst="roundRect">
            <a:avLst>
              <a:gd name="adj" fmla="val 1321"/>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1" name="Rectangle 30">
            <a:extLst>
              <a:ext uri="{FF2B5EF4-FFF2-40B4-BE49-F238E27FC236}">
                <a16:creationId xmlns:a16="http://schemas.microsoft.com/office/drawing/2014/main" id="{A2ED894F-1098-EEFE-AEEC-A8109ECB0081}"/>
              </a:ext>
            </a:extLst>
          </xdr:cNvPr>
          <xdr:cNvSpPr/>
        </xdr:nvSpPr>
        <xdr:spPr>
          <a:xfrm>
            <a:off x="4030980" y="4091940"/>
            <a:ext cx="2057400" cy="274320"/>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Satisfaction Rating</a:t>
            </a:r>
            <a:endParaRPr lang="en-GB" sz="1100">
              <a:solidFill>
                <a:schemeClr val="bg1">
                  <a:lumMod val="50000"/>
                </a:schemeClr>
              </a:solidFill>
            </a:endParaRPr>
          </a:p>
        </xdr:txBody>
      </xdr:sp>
      <xdr:graphicFrame macro="">
        <xdr:nvGraphicFramePr>
          <xdr:cNvPr id="46" name="Chart 45">
            <a:extLst>
              <a:ext uri="{FF2B5EF4-FFF2-40B4-BE49-F238E27FC236}">
                <a16:creationId xmlns:a16="http://schemas.microsoft.com/office/drawing/2014/main" id="{1DD51214-62DA-4946-8F36-EDC02FE33340}"/>
              </a:ext>
            </a:extLst>
          </xdr:cNvPr>
          <xdr:cNvGraphicFramePr>
            <a:graphicFrameLocks/>
          </xdr:cNvGraphicFramePr>
        </xdr:nvGraphicFramePr>
        <xdr:xfrm>
          <a:off x="5844540" y="4130040"/>
          <a:ext cx="3139440" cy="21259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xdr:col>
      <xdr:colOff>38100</xdr:colOff>
      <xdr:row>7</xdr:row>
      <xdr:rowOff>22860</xdr:rowOff>
    </xdr:from>
    <xdr:to>
      <xdr:col>6</xdr:col>
      <xdr:colOff>441960</xdr:colOff>
      <xdr:row>23</xdr:row>
      <xdr:rowOff>83820</xdr:rowOff>
    </xdr:to>
    <xdr:grpSp>
      <xdr:nvGrpSpPr>
        <xdr:cNvPr id="62" name="Group 61">
          <a:extLst>
            <a:ext uri="{FF2B5EF4-FFF2-40B4-BE49-F238E27FC236}">
              <a16:creationId xmlns:a16="http://schemas.microsoft.com/office/drawing/2014/main" id="{206E5979-E59E-43DF-C418-8C7DD70D5F3E}"/>
            </a:ext>
          </a:extLst>
        </xdr:cNvPr>
        <xdr:cNvGrpSpPr/>
      </xdr:nvGrpSpPr>
      <xdr:grpSpPr>
        <a:xfrm>
          <a:off x="1257300" y="1303020"/>
          <a:ext cx="2842260" cy="2987040"/>
          <a:chOff x="1097280" y="845821"/>
          <a:chExt cx="2842260" cy="3390903"/>
        </a:xfrm>
      </xdr:grpSpPr>
      <xdr:sp macro="" textlink="">
        <xdr:nvSpPr>
          <xdr:cNvPr id="48" name="Rectangle: Rounded Corners 47">
            <a:extLst>
              <a:ext uri="{FF2B5EF4-FFF2-40B4-BE49-F238E27FC236}">
                <a16:creationId xmlns:a16="http://schemas.microsoft.com/office/drawing/2014/main" id="{FD81EAED-CA6A-4551-A60E-D82D5F30400E}"/>
              </a:ext>
            </a:extLst>
          </xdr:cNvPr>
          <xdr:cNvSpPr/>
        </xdr:nvSpPr>
        <xdr:spPr>
          <a:xfrm>
            <a:off x="1097280" y="845821"/>
            <a:ext cx="2842260" cy="3390903"/>
          </a:xfrm>
          <a:prstGeom prst="roundRect">
            <a:avLst>
              <a:gd name="adj" fmla="val 1791"/>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1" name="Rectangle 50">
            <a:extLst>
              <a:ext uri="{FF2B5EF4-FFF2-40B4-BE49-F238E27FC236}">
                <a16:creationId xmlns:a16="http://schemas.microsoft.com/office/drawing/2014/main" id="{79C51979-6E3F-4D73-BD68-426DB30E2622}"/>
              </a:ext>
            </a:extLst>
          </xdr:cNvPr>
          <xdr:cNvSpPr/>
        </xdr:nvSpPr>
        <xdr:spPr>
          <a:xfrm>
            <a:off x="1148998" y="898350"/>
            <a:ext cx="1824423" cy="466117"/>
          </a:xfrm>
          <a:prstGeom prst="rect">
            <a:avLst/>
          </a:prstGeom>
          <a:solidFill>
            <a:srgbClr val="181C3A">
              <a:alpha val="99000"/>
            </a:srgbClr>
          </a:solidFill>
          <a:ln>
            <a:noFill/>
          </a:ln>
          <a:effectLst>
            <a:glow rad="38100">
              <a:srgbClr val="DF198E">
                <a:alpha val="53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ln>
                  <a:noFill/>
                </a:ln>
                <a:solidFill>
                  <a:srgbClr val="DF198E"/>
                </a:solidFill>
              </a:rPr>
              <a:t>Demography</a:t>
            </a:r>
          </a:p>
        </xdr:txBody>
      </xdr:sp>
      <xdr:graphicFrame macro="">
        <xdr:nvGraphicFramePr>
          <xdr:cNvPr id="52" name="Chart 51">
            <a:extLst>
              <a:ext uri="{FF2B5EF4-FFF2-40B4-BE49-F238E27FC236}">
                <a16:creationId xmlns:a16="http://schemas.microsoft.com/office/drawing/2014/main" id="{D60075EE-3C7F-4C23-95FA-EE5EF5D5B977}"/>
              </a:ext>
            </a:extLst>
          </xdr:cNvPr>
          <xdr:cNvGraphicFramePr>
            <a:graphicFrameLocks/>
          </xdr:cNvGraphicFramePr>
        </xdr:nvGraphicFramePr>
        <xdr:xfrm>
          <a:off x="1158240" y="1607822"/>
          <a:ext cx="2727960" cy="214122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3" name="Rectangle 52">
            <a:extLst>
              <a:ext uri="{FF2B5EF4-FFF2-40B4-BE49-F238E27FC236}">
                <a16:creationId xmlns:a16="http://schemas.microsoft.com/office/drawing/2014/main" id="{D9722869-F1BD-45CE-8F73-BEA2F2309596}"/>
              </a:ext>
            </a:extLst>
          </xdr:cNvPr>
          <xdr:cNvSpPr/>
        </xdr:nvSpPr>
        <xdr:spPr>
          <a:xfrm>
            <a:off x="1120140" y="1409700"/>
            <a:ext cx="1874520" cy="274320"/>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Age Range</a:t>
            </a:r>
            <a:endParaRPr lang="en-GB" sz="1100">
              <a:solidFill>
                <a:schemeClr val="bg1">
                  <a:lumMod val="50000"/>
                </a:schemeClr>
              </a:solidFill>
            </a:endParaRPr>
          </a:p>
        </xdr:txBody>
      </xdr:sp>
    </xdr:grpSp>
    <xdr:clientData/>
  </xdr:twoCellAnchor>
  <xdr:twoCellAnchor>
    <xdr:from>
      <xdr:col>2</xdr:col>
      <xdr:colOff>15240</xdr:colOff>
      <xdr:row>23</xdr:row>
      <xdr:rowOff>121920</xdr:rowOff>
    </xdr:from>
    <xdr:to>
      <xdr:col>6</xdr:col>
      <xdr:colOff>434340</xdr:colOff>
      <xdr:row>40</xdr:row>
      <xdr:rowOff>0</xdr:rowOff>
    </xdr:to>
    <xdr:grpSp>
      <xdr:nvGrpSpPr>
        <xdr:cNvPr id="64" name="Group 63">
          <a:extLst>
            <a:ext uri="{FF2B5EF4-FFF2-40B4-BE49-F238E27FC236}">
              <a16:creationId xmlns:a16="http://schemas.microsoft.com/office/drawing/2014/main" id="{6200CFAC-2676-73AB-4048-E85ECCE9D037}"/>
            </a:ext>
          </a:extLst>
        </xdr:cNvPr>
        <xdr:cNvGrpSpPr/>
      </xdr:nvGrpSpPr>
      <xdr:grpSpPr>
        <a:xfrm>
          <a:off x="1234440" y="4328160"/>
          <a:ext cx="2857500" cy="2987040"/>
          <a:chOff x="1082040" y="4297680"/>
          <a:chExt cx="2857500" cy="2987040"/>
        </a:xfrm>
      </xdr:grpSpPr>
      <xdr:sp macro="" textlink="">
        <xdr:nvSpPr>
          <xdr:cNvPr id="49" name="Rectangle: Rounded Corners 48">
            <a:extLst>
              <a:ext uri="{FF2B5EF4-FFF2-40B4-BE49-F238E27FC236}">
                <a16:creationId xmlns:a16="http://schemas.microsoft.com/office/drawing/2014/main" id="{9849A5E4-EF24-4401-937C-070C5C7F8FAE}"/>
              </a:ext>
            </a:extLst>
          </xdr:cNvPr>
          <xdr:cNvSpPr/>
        </xdr:nvSpPr>
        <xdr:spPr>
          <a:xfrm>
            <a:off x="1097280" y="4297680"/>
            <a:ext cx="2842260" cy="2987040"/>
          </a:xfrm>
          <a:prstGeom prst="roundRect">
            <a:avLst>
              <a:gd name="adj" fmla="val 2265"/>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4" name="Rectangle 53">
            <a:extLst>
              <a:ext uri="{FF2B5EF4-FFF2-40B4-BE49-F238E27FC236}">
                <a16:creationId xmlns:a16="http://schemas.microsoft.com/office/drawing/2014/main" id="{D64074ED-68A7-41C6-BB4E-73D8C1C61A6C}"/>
              </a:ext>
            </a:extLst>
          </xdr:cNvPr>
          <xdr:cNvSpPr/>
        </xdr:nvSpPr>
        <xdr:spPr>
          <a:xfrm>
            <a:off x="1082040" y="5996940"/>
            <a:ext cx="1851660" cy="274320"/>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Gender</a:t>
            </a:r>
            <a:endParaRPr lang="en-GB" sz="1100">
              <a:solidFill>
                <a:schemeClr val="bg1">
                  <a:lumMod val="50000"/>
                </a:schemeClr>
              </a:solidFill>
            </a:endParaRPr>
          </a:p>
        </xdr:txBody>
      </xdr:sp>
      <xdr:graphicFrame macro="">
        <xdr:nvGraphicFramePr>
          <xdr:cNvPr id="55" name="Chart 54">
            <a:extLst>
              <a:ext uri="{FF2B5EF4-FFF2-40B4-BE49-F238E27FC236}">
                <a16:creationId xmlns:a16="http://schemas.microsoft.com/office/drawing/2014/main" id="{E4BA0450-2350-45D5-94D1-82C2E23BF584}"/>
              </a:ext>
            </a:extLst>
          </xdr:cNvPr>
          <xdr:cNvGraphicFramePr>
            <a:graphicFrameLocks/>
          </xdr:cNvGraphicFramePr>
        </xdr:nvGraphicFramePr>
        <xdr:xfrm>
          <a:off x="1097280" y="6202680"/>
          <a:ext cx="2758440" cy="78486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350915</xdr:colOff>
      <xdr:row>4</xdr:row>
      <xdr:rowOff>162792</xdr:rowOff>
    </xdr:from>
    <xdr:to>
      <xdr:col>3</xdr:col>
      <xdr:colOff>164432</xdr:colOff>
      <xdr:row>7</xdr:row>
      <xdr:rowOff>38654</xdr:rowOff>
    </xdr:to>
    <xdr:pic>
      <xdr:nvPicPr>
        <xdr:cNvPr id="78" name="Graphic 77" descr="Users with solid fill">
          <a:extLst>
            <a:ext uri="{FF2B5EF4-FFF2-40B4-BE49-F238E27FC236}">
              <a16:creationId xmlns:a16="http://schemas.microsoft.com/office/drawing/2014/main" id="{B609AC6A-EC15-309F-B441-B3EA876F91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70115" y="900729"/>
          <a:ext cx="423117" cy="429314"/>
        </a:xfrm>
        <a:prstGeom prst="rect">
          <a:avLst/>
        </a:prstGeom>
      </xdr:spPr>
    </xdr:pic>
    <xdr:clientData/>
  </xdr:twoCellAnchor>
  <xdr:twoCellAnchor>
    <xdr:from>
      <xdr:col>8</xdr:col>
      <xdr:colOff>417723</xdr:colOff>
      <xdr:row>2</xdr:row>
      <xdr:rowOff>74694</xdr:rowOff>
    </xdr:from>
    <xdr:to>
      <xdr:col>11</xdr:col>
      <xdr:colOff>433624</xdr:colOff>
      <xdr:row>7</xdr:row>
      <xdr:rowOff>31109</xdr:rowOff>
    </xdr:to>
    <xdr:grpSp>
      <xdr:nvGrpSpPr>
        <xdr:cNvPr id="140" name="Group 139">
          <a:extLst>
            <a:ext uri="{FF2B5EF4-FFF2-40B4-BE49-F238E27FC236}">
              <a16:creationId xmlns:a16="http://schemas.microsoft.com/office/drawing/2014/main" id="{E8669882-6F91-7F8A-CCAB-0E136CDB0878}"/>
            </a:ext>
          </a:extLst>
        </xdr:cNvPr>
        <xdr:cNvGrpSpPr/>
      </xdr:nvGrpSpPr>
      <xdr:grpSpPr>
        <a:xfrm>
          <a:off x="5294523" y="440454"/>
          <a:ext cx="1844701" cy="870815"/>
          <a:chOff x="5294523" y="440454"/>
          <a:chExt cx="1844701" cy="870815"/>
        </a:xfrm>
      </xdr:grpSpPr>
      <xdr:sp macro="" textlink="">
        <xdr:nvSpPr>
          <xdr:cNvPr id="94" name="Rectangle: Rounded Corners 93">
            <a:extLst>
              <a:ext uri="{FF2B5EF4-FFF2-40B4-BE49-F238E27FC236}">
                <a16:creationId xmlns:a16="http://schemas.microsoft.com/office/drawing/2014/main" id="{7E488BE1-1691-40EE-8D19-062235C7E090}"/>
              </a:ext>
            </a:extLst>
          </xdr:cNvPr>
          <xdr:cNvSpPr/>
        </xdr:nvSpPr>
        <xdr:spPr>
          <a:xfrm>
            <a:off x="5294523" y="461524"/>
            <a:ext cx="1844701" cy="849745"/>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b="0" i="0" u="none" strike="noStrike">
              <a:solidFill>
                <a:schemeClr val="bg1"/>
              </a:solidFill>
              <a:latin typeface="Aptos Narrow"/>
            </a:endParaRPr>
          </a:p>
        </xdr:txBody>
      </xdr:sp>
      <xdr:sp macro="" textlink="Attrition!F4">
        <xdr:nvSpPr>
          <xdr:cNvPr id="102" name="Rectangle: Rounded Corners 101">
            <a:extLst>
              <a:ext uri="{FF2B5EF4-FFF2-40B4-BE49-F238E27FC236}">
                <a16:creationId xmlns:a16="http://schemas.microsoft.com/office/drawing/2014/main" id="{007378B8-83F5-4E79-AD28-F38DF6C35FA9}"/>
              </a:ext>
            </a:extLst>
          </xdr:cNvPr>
          <xdr:cNvSpPr/>
        </xdr:nvSpPr>
        <xdr:spPr>
          <a:xfrm>
            <a:off x="6265961" y="848486"/>
            <a:ext cx="754380" cy="418675"/>
          </a:xfrm>
          <a:prstGeom prst="roundRect">
            <a:avLst>
              <a:gd name="adj" fmla="val 11262"/>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DA1D7FE-F8DB-40D0-849B-BF0CD1CE590D}" type="TxLink">
              <a:rPr lang="en-US" sz="2400" b="0" i="0" u="none" strike="noStrike">
                <a:solidFill>
                  <a:schemeClr val="bg1"/>
                </a:solidFill>
                <a:latin typeface="Aptos Narrow"/>
                <a:ea typeface="+mn-ea"/>
                <a:cs typeface="+mn-cs"/>
              </a:rPr>
              <a:pPr marL="0" indent="0" algn="l"/>
              <a:t>546</a:t>
            </a:fld>
            <a:endParaRPr lang="en-US" sz="2400" b="0" i="0" u="none" strike="noStrike">
              <a:solidFill>
                <a:schemeClr val="bg1"/>
              </a:solidFill>
              <a:latin typeface="Aptos Narrow"/>
              <a:ea typeface="+mn-ea"/>
              <a:cs typeface="+mn-cs"/>
            </a:endParaRPr>
          </a:p>
        </xdr:txBody>
      </xdr:sp>
      <xdr:sp macro="" textlink="">
        <xdr:nvSpPr>
          <xdr:cNvPr id="104" name="Rectangle: Rounded Corners 103">
            <a:extLst>
              <a:ext uri="{FF2B5EF4-FFF2-40B4-BE49-F238E27FC236}">
                <a16:creationId xmlns:a16="http://schemas.microsoft.com/office/drawing/2014/main" id="{C2035F31-C411-42CA-8113-DC1B88D69A10}"/>
              </a:ext>
            </a:extLst>
          </xdr:cNvPr>
          <xdr:cNvSpPr/>
        </xdr:nvSpPr>
        <xdr:spPr>
          <a:xfrm>
            <a:off x="6203594" y="657760"/>
            <a:ext cx="928138" cy="327784"/>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lumMod val="50000"/>
                  </a:schemeClr>
                </a:solidFill>
              </a:rPr>
              <a:t>Active</a:t>
            </a:r>
            <a:r>
              <a:rPr lang="en-GB" sz="1100" baseline="0">
                <a:solidFill>
                  <a:schemeClr val="bg1">
                    <a:lumMod val="50000"/>
                  </a:schemeClr>
                </a:solidFill>
              </a:rPr>
              <a:t> Staff</a:t>
            </a:r>
            <a:endParaRPr lang="en-GB" sz="1100">
              <a:solidFill>
                <a:schemeClr val="bg1">
                  <a:lumMod val="50000"/>
                </a:schemeClr>
              </a:solidFill>
            </a:endParaRPr>
          </a:p>
        </xdr:txBody>
      </xdr:sp>
      <xdr:pic>
        <xdr:nvPicPr>
          <xdr:cNvPr id="112" name="Graphic 111" descr="Classroom with solid fill">
            <a:extLst>
              <a:ext uri="{FF2B5EF4-FFF2-40B4-BE49-F238E27FC236}">
                <a16:creationId xmlns:a16="http://schemas.microsoft.com/office/drawing/2014/main" id="{2B05EDFF-ED6C-74E0-AC3B-51217D22EA6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51364" y="837675"/>
            <a:ext cx="385013" cy="445700"/>
          </a:xfrm>
          <a:prstGeom prst="rect">
            <a:avLst/>
          </a:prstGeom>
        </xdr:spPr>
      </xdr:pic>
      <xdr:sp macro="" textlink="Attrition!F7">
        <xdr:nvSpPr>
          <xdr:cNvPr id="119" name="Rectangle: Rounded Corners 118">
            <a:extLst>
              <a:ext uri="{FF2B5EF4-FFF2-40B4-BE49-F238E27FC236}">
                <a16:creationId xmlns:a16="http://schemas.microsoft.com/office/drawing/2014/main" id="{EB88E98C-90DF-4DB6-B175-BF3B9615BD0A}"/>
              </a:ext>
            </a:extLst>
          </xdr:cNvPr>
          <xdr:cNvSpPr/>
        </xdr:nvSpPr>
        <xdr:spPr>
          <a:xfrm>
            <a:off x="5310228" y="440454"/>
            <a:ext cx="275574" cy="849819"/>
          </a:xfrm>
          <a:prstGeom prst="roundRect">
            <a:avLst>
              <a:gd name="adj" fmla="val 8046"/>
            </a:avLst>
          </a:prstGeom>
          <a:solidFill>
            <a:srgbClr val="05DA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grpSp>
    <xdr:clientData/>
  </xdr:twoCellAnchor>
  <xdr:twoCellAnchor>
    <xdr:from>
      <xdr:col>2</xdr:col>
      <xdr:colOff>28232</xdr:colOff>
      <xdr:row>2</xdr:row>
      <xdr:rowOff>80420</xdr:rowOff>
    </xdr:from>
    <xdr:to>
      <xdr:col>5</xdr:col>
      <xdr:colOff>231913</xdr:colOff>
      <xdr:row>7</xdr:row>
      <xdr:rowOff>41865</xdr:rowOff>
    </xdr:to>
    <xdr:grpSp>
      <xdr:nvGrpSpPr>
        <xdr:cNvPr id="131" name="Group 130">
          <a:extLst>
            <a:ext uri="{FF2B5EF4-FFF2-40B4-BE49-F238E27FC236}">
              <a16:creationId xmlns:a16="http://schemas.microsoft.com/office/drawing/2014/main" id="{102E5863-99A0-91AA-4D3C-F1CF7EEBCA7A}"/>
            </a:ext>
          </a:extLst>
        </xdr:cNvPr>
        <xdr:cNvGrpSpPr/>
      </xdr:nvGrpSpPr>
      <xdr:grpSpPr>
        <a:xfrm>
          <a:off x="1247432" y="446180"/>
          <a:ext cx="2032481" cy="875845"/>
          <a:chOff x="1247432" y="443835"/>
          <a:chExt cx="2032481" cy="869984"/>
        </a:xfrm>
      </xdr:grpSpPr>
      <xdr:sp macro="" textlink="Attrition!F7">
        <xdr:nvSpPr>
          <xdr:cNvPr id="65" name="Rectangle: Rounded Corners 64">
            <a:extLst>
              <a:ext uri="{FF2B5EF4-FFF2-40B4-BE49-F238E27FC236}">
                <a16:creationId xmlns:a16="http://schemas.microsoft.com/office/drawing/2014/main" id="{6737F7FD-BCC4-F035-CB0B-55A9428D6E34}"/>
              </a:ext>
            </a:extLst>
          </xdr:cNvPr>
          <xdr:cNvSpPr/>
        </xdr:nvSpPr>
        <xdr:spPr>
          <a:xfrm>
            <a:off x="1263926" y="443835"/>
            <a:ext cx="2015987" cy="847196"/>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sp macro="" textlink="">
        <xdr:nvSpPr>
          <xdr:cNvPr id="66" name="Rectangle: Rounded Corners 65">
            <a:extLst>
              <a:ext uri="{FF2B5EF4-FFF2-40B4-BE49-F238E27FC236}">
                <a16:creationId xmlns:a16="http://schemas.microsoft.com/office/drawing/2014/main" id="{BAAF38A9-FD26-4DEF-8926-1D2E9DF248F4}"/>
              </a:ext>
            </a:extLst>
          </xdr:cNvPr>
          <xdr:cNvSpPr/>
        </xdr:nvSpPr>
        <xdr:spPr>
          <a:xfrm>
            <a:off x="2425065" y="654706"/>
            <a:ext cx="815092" cy="325112"/>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lumMod val="50000"/>
                  </a:schemeClr>
                </a:solidFill>
              </a:rPr>
              <a:t>Total Staff</a:t>
            </a:r>
          </a:p>
        </xdr:txBody>
      </xdr:sp>
      <xdr:sp macro="" textlink="Attrition!F7">
        <xdr:nvSpPr>
          <xdr:cNvPr id="68" name="Rectangle: Rounded Corners 67">
            <a:extLst>
              <a:ext uri="{FF2B5EF4-FFF2-40B4-BE49-F238E27FC236}">
                <a16:creationId xmlns:a16="http://schemas.microsoft.com/office/drawing/2014/main" id="{82762DDB-C7DD-ED81-F382-733FEC85699F}"/>
              </a:ext>
            </a:extLst>
          </xdr:cNvPr>
          <xdr:cNvSpPr/>
        </xdr:nvSpPr>
        <xdr:spPr>
          <a:xfrm>
            <a:off x="2499360" y="844029"/>
            <a:ext cx="754380" cy="416883"/>
          </a:xfrm>
          <a:prstGeom prst="roundRect">
            <a:avLst>
              <a:gd name="adj" fmla="val 11262"/>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007008-EA69-4738-9B2B-E1C4972A94D1}" type="TxLink">
              <a:rPr lang="en-US" sz="2400" b="0" i="0" u="none" strike="noStrike">
                <a:solidFill>
                  <a:schemeClr val="bg1"/>
                </a:solidFill>
                <a:latin typeface="Aptos Narrow"/>
              </a:rPr>
              <a:pPr algn="l"/>
              <a:t>780</a:t>
            </a:fld>
            <a:endParaRPr lang="en-GB" sz="2400">
              <a:solidFill>
                <a:schemeClr val="bg1"/>
              </a:solidFill>
            </a:endParaRPr>
          </a:p>
        </xdr:txBody>
      </xdr:sp>
      <xdr:sp macro="" textlink="Attrition!F7">
        <xdr:nvSpPr>
          <xdr:cNvPr id="74" name="Rectangle: Rounded Corners 73">
            <a:extLst>
              <a:ext uri="{FF2B5EF4-FFF2-40B4-BE49-F238E27FC236}">
                <a16:creationId xmlns:a16="http://schemas.microsoft.com/office/drawing/2014/main" id="{BB64BF11-39EC-42D2-87CF-1715A5441845}"/>
              </a:ext>
            </a:extLst>
          </xdr:cNvPr>
          <xdr:cNvSpPr/>
        </xdr:nvSpPr>
        <xdr:spPr>
          <a:xfrm>
            <a:off x="1247432" y="472638"/>
            <a:ext cx="275574" cy="841181"/>
          </a:xfrm>
          <a:prstGeom prst="roundRect">
            <a:avLst>
              <a:gd name="adj" fmla="val 8046"/>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pic>
        <xdr:nvPicPr>
          <xdr:cNvPr id="126" name="Graphic 125" descr="Users with solid fill">
            <a:extLst>
              <a:ext uri="{FF2B5EF4-FFF2-40B4-BE49-F238E27FC236}">
                <a16:creationId xmlns:a16="http://schemas.microsoft.com/office/drawing/2014/main" id="{32836347-2406-6B7F-C1F5-6C8453373D2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86157" y="889623"/>
            <a:ext cx="423117" cy="420985"/>
          </a:xfrm>
          <a:prstGeom prst="rect">
            <a:avLst/>
          </a:prstGeom>
        </xdr:spPr>
      </xdr:pic>
    </xdr:grpSp>
    <xdr:clientData/>
  </xdr:twoCellAnchor>
  <xdr:twoCellAnchor>
    <xdr:from>
      <xdr:col>11</xdr:col>
      <xdr:colOff>465232</xdr:colOff>
      <xdr:row>2</xdr:row>
      <xdr:rowOff>120316</xdr:rowOff>
    </xdr:from>
    <xdr:to>
      <xdr:col>14</xdr:col>
      <xdr:colOff>601730</xdr:colOff>
      <xdr:row>7</xdr:row>
      <xdr:rowOff>60305</xdr:rowOff>
    </xdr:to>
    <xdr:grpSp>
      <xdr:nvGrpSpPr>
        <xdr:cNvPr id="138" name="Group 137">
          <a:extLst>
            <a:ext uri="{FF2B5EF4-FFF2-40B4-BE49-F238E27FC236}">
              <a16:creationId xmlns:a16="http://schemas.microsoft.com/office/drawing/2014/main" id="{B1F8E0D4-6282-15B3-A5A6-32DC61F065E9}"/>
            </a:ext>
          </a:extLst>
        </xdr:cNvPr>
        <xdr:cNvGrpSpPr/>
      </xdr:nvGrpSpPr>
      <xdr:grpSpPr>
        <a:xfrm>
          <a:off x="7170832" y="486076"/>
          <a:ext cx="1965298" cy="854389"/>
          <a:chOff x="7174867" y="488178"/>
          <a:chExt cx="1965298" cy="859644"/>
        </a:xfrm>
      </xdr:grpSpPr>
      <xdr:sp macro="" textlink="Attrition!F7">
        <xdr:nvSpPr>
          <xdr:cNvPr id="95" name="Rectangle: Rounded Corners 94">
            <a:extLst>
              <a:ext uri="{FF2B5EF4-FFF2-40B4-BE49-F238E27FC236}">
                <a16:creationId xmlns:a16="http://schemas.microsoft.com/office/drawing/2014/main" id="{746F0C54-7FB0-4494-883C-B28373D0026F}"/>
              </a:ext>
            </a:extLst>
          </xdr:cNvPr>
          <xdr:cNvSpPr/>
        </xdr:nvSpPr>
        <xdr:spPr>
          <a:xfrm>
            <a:off x="7190109" y="489126"/>
            <a:ext cx="1950056" cy="858696"/>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sp macro="" textlink="Attrition!G5">
        <xdr:nvSpPr>
          <xdr:cNvPr id="113" name="Rectangle: Rounded Corners 112">
            <a:extLst>
              <a:ext uri="{FF2B5EF4-FFF2-40B4-BE49-F238E27FC236}">
                <a16:creationId xmlns:a16="http://schemas.microsoft.com/office/drawing/2014/main" id="{BEB87A86-C906-41A9-B69E-B911DE6DD3EC}"/>
              </a:ext>
            </a:extLst>
          </xdr:cNvPr>
          <xdr:cNvSpPr/>
        </xdr:nvSpPr>
        <xdr:spPr>
          <a:xfrm>
            <a:off x="8092833" y="853050"/>
            <a:ext cx="1004456" cy="421202"/>
          </a:xfrm>
          <a:prstGeom prst="roundRect">
            <a:avLst>
              <a:gd name="adj" fmla="val 11262"/>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C26106F-D3E9-429E-9819-CD23A58F65DD}" type="TxLink">
              <a:rPr lang="en-US" sz="2400" b="0" i="0" u="none" strike="noStrike">
                <a:solidFill>
                  <a:schemeClr val="bg1"/>
                </a:solidFill>
                <a:latin typeface="Aptos Narrow"/>
                <a:ea typeface="+mn-ea"/>
                <a:cs typeface="+mn-cs"/>
              </a:rPr>
              <a:pPr marL="0" indent="0" algn="l"/>
              <a:t>30.0%</a:t>
            </a:fld>
            <a:endParaRPr lang="en-US" sz="2400" b="0" i="0" u="none" strike="noStrike">
              <a:solidFill>
                <a:schemeClr val="bg1"/>
              </a:solidFill>
              <a:latin typeface="Aptos Narrow"/>
              <a:ea typeface="+mn-ea"/>
              <a:cs typeface="+mn-cs"/>
            </a:endParaRPr>
          </a:p>
        </xdr:txBody>
      </xdr:sp>
      <xdr:sp macro="" textlink="">
        <xdr:nvSpPr>
          <xdr:cNvPr id="114" name="Rectangle: Rounded Corners 113">
            <a:extLst>
              <a:ext uri="{FF2B5EF4-FFF2-40B4-BE49-F238E27FC236}">
                <a16:creationId xmlns:a16="http://schemas.microsoft.com/office/drawing/2014/main" id="{7122B32A-AFB7-4D5C-B919-A4D7F24126CD}"/>
              </a:ext>
            </a:extLst>
          </xdr:cNvPr>
          <xdr:cNvSpPr/>
        </xdr:nvSpPr>
        <xdr:spPr>
          <a:xfrm>
            <a:off x="8122418" y="661172"/>
            <a:ext cx="949902" cy="329763"/>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lumMod val="50000"/>
                  </a:schemeClr>
                </a:solidFill>
              </a:rPr>
              <a:t>Attrition</a:t>
            </a:r>
            <a:r>
              <a:rPr lang="en-GB" sz="1100" baseline="0">
                <a:solidFill>
                  <a:schemeClr val="bg1">
                    <a:lumMod val="50000"/>
                  </a:schemeClr>
                </a:solidFill>
              </a:rPr>
              <a:t> Rate</a:t>
            </a:r>
            <a:endParaRPr lang="en-GB" sz="1100">
              <a:solidFill>
                <a:schemeClr val="bg1">
                  <a:lumMod val="50000"/>
                </a:schemeClr>
              </a:solidFill>
            </a:endParaRPr>
          </a:p>
        </xdr:txBody>
      </xdr:sp>
      <xdr:sp macro="" textlink="Attrition!F7">
        <xdr:nvSpPr>
          <xdr:cNvPr id="118" name="Rectangle: Rounded Corners 117">
            <a:extLst>
              <a:ext uri="{FF2B5EF4-FFF2-40B4-BE49-F238E27FC236}">
                <a16:creationId xmlns:a16="http://schemas.microsoft.com/office/drawing/2014/main" id="{F1511987-FD1D-49E0-8C3D-54D03BB84867}"/>
              </a:ext>
            </a:extLst>
          </xdr:cNvPr>
          <xdr:cNvSpPr/>
        </xdr:nvSpPr>
        <xdr:spPr>
          <a:xfrm>
            <a:off x="7174867" y="488178"/>
            <a:ext cx="232575" cy="796382"/>
          </a:xfrm>
          <a:prstGeom prst="roundRect">
            <a:avLst>
              <a:gd name="adj" fmla="val 8046"/>
            </a:avLst>
          </a:prstGeom>
          <a:solidFill>
            <a:srgbClr val="DF19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pic>
        <xdr:nvPicPr>
          <xdr:cNvPr id="129" name="Graphic 128" descr="Hourglass Finished outline">
            <a:extLst>
              <a:ext uri="{FF2B5EF4-FFF2-40B4-BE49-F238E27FC236}">
                <a16:creationId xmlns:a16="http://schemas.microsoft.com/office/drawing/2014/main" id="{EAFB8660-5CAC-51EC-3174-F11B701C9AE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444994" y="918355"/>
            <a:ext cx="383679" cy="386796"/>
          </a:xfrm>
          <a:prstGeom prst="rect">
            <a:avLst/>
          </a:prstGeom>
        </xdr:spPr>
      </xdr:pic>
    </xdr:grpSp>
    <xdr:clientData/>
  </xdr:twoCellAnchor>
  <xdr:twoCellAnchor>
    <xdr:from>
      <xdr:col>5</xdr:col>
      <xdr:colOff>267555</xdr:colOff>
      <xdr:row>2</xdr:row>
      <xdr:rowOff>63499</xdr:rowOff>
    </xdr:from>
    <xdr:to>
      <xdr:col>8</xdr:col>
      <xdr:colOff>382081</xdr:colOff>
      <xdr:row>7</xdr:row>
      <xdr:rowOff>38654</xdr:rowOff>
    </xdr:to>
    <xdr:grpSp>
      <xdr:nvGrpSpPr>
        <xdr:cNvPr id="134" name="Group 133">
          <a:extLst>
            <a:ext uri="{FF2B5EF4-FFF2-40B4-BE49-F238E27FC236}">
              <a16:creationId xmlns:a16="http://schemas.microsoft.com/office/drawing/2014/main" id="{D776C96C-EE6B-552C-7593-D1D7487CF554}"/>
            </a:ext>
          </a:extLst>
        </xdr:cNvPr>
        <xdr:cNvGrpSpPr/>
      </xdr:nvGrpSpPr>
      <xdr:grpSpPr>
        <a:xfrm>
          <a:off x="3315555" y="429259"/>
          <a:ext cx="1943326" cy="889555"/>
          <a:chOff x="3303873" y="426914"/>
          <a:chExt cx="1943326" cy="883694"/>
        </a:xfrm>
      </xdr:grpSpPr>
      <xdr:sp macro="" textlink="Attrition!F7">
        <xdr:nvSpPr>
          <xdr:cNvPr id="73" name="Rectangle: Rounded Corners 72">
            <a:extLst>
              <a:ext uri="{FF2B5EF4-FFF2-40B4-BE49-F238E27FC236}">
                <a16:creationId xmlns:a16="http://schemas.microsoft.com/office/drawing/2014/main" id="{451BBF65-00A0-4E2E-A3DD-892453B7296E}"/>
              </a:ext>
            </a:extLst>
          </xdr:cNvPr>
          <xdr:cNvSpPr/>
        </xdr:nvSpPr>
        <xdr:spPr>
          <a:xfrm>
            <a:off x="3303873" y="426914"/>
            <a:ext cx="1943326" cy="846533"/>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sp macro="" textlink="Attrition!F5">
        <xdr:nvSpPr>
          <xdr:cNvPr id="92" name="Rectangle: Rounded Corners 91">
            <a:extLst>
              <a:ext uri="{FF2B5EF4-FFF2-40B4-BE49-F238E27FC236}">
                <a16:creationId xmlns:a16="http://schemas.microsoft.com/office/drawing/2014/main" id="{4EDF2057-EC2A-461B-A629-58B787266CF7}"/>
              </a:ext>
            </a:extLst>
          </xdr:cNvPr>
          <xdr:cNvSpPr/>
        </xdr:nvSpPr>
        <xdr:spPr>
          <a:xfrm>
            <a:off x="4405747" y="844157"/>
            <a:ext cx="754380" cy="416755"/>
          </a:xfrm>
          <a:prstGeom prst="roundRect">
            <a:avLst>
              <a:gd name="adj" fmla="val 11262"/>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F034636-4B17-4ABC-A3C0-AA24876E5F26}" type="TxLink">
              <a:rPr lang="en-US" sz="2400" b="0" i="0" u="none" strike="noStrike">
                <a:solidFill>
                  <a:schemeClr val="bg1"/>
                </a:solidFill>
                <a:latin typeface="Aptos Narrow"/>
                <a:ea typeface="+mn-ea"/>
                <a:cs typeface="+mn-cs"/>
              </a:rPr>
              <a:pPr marL="0" indent="0" algn="l"/>
              <a:t>234</a:t>
            </a:fld>
            <a:endParaRPr lang="en-GB" sz="2400" b="0" i="0" u="none" strike="noStrike">
              <a:solidFill>
                <a:schemeClr val="bg1"/>
              </a:solidFill>
              <a:latin typeface="Aptos Narrow"/>
              <a:ea typeface="+mn-ea"/>
              <a:cs typeface="+mn-cs"/>
            </a:endParaRPr>
          </a:p>
        </xdr:txBody>
      </xdr:sp>
      <xdr:sp macro="" textlink="Attrition!F7">
        <xdr:nvSpPr>
          <xdr:cNvPr id="93" name="Rectangle: Rounded Corners 92">
            <a:extLst>
              <a:ext uri="{FF2B5EF4-FFF2-40B4-BE49-F238E27FC236}">
                <a16:creationId xmlns:a16="http://schemas.microsoft.com/office/drawing/2014/main" id="{4125B057-C8EF-49B2-92EB-04508821A6E8}"/>
              </a:ext>
            </a:extLst>
          </xdr:cNvPr>
          <xdr:cNvSpPr/>
        </xdr:nvSpPr>
        <xdr:spPr>
          <a:xfrm>
            <a:off x="3320894" y="442190"/>
            <a:ext cx="275574" cy="838935"/>
          </a:xfrm>
          <a:prstGeom prst="roundRect">
            <a:avLst>
              <a:gd name="adj" fmla="val 8046"/>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400">
              <a:solidFill>
                <a:schemeClr val="bg1"/>
              </a:solidFill>
            </a:endParaRPr>
          </a:p>
        </xdr:txBody>
      </xdr:sp>
      <xdr:sp macro="" textlink="">
        <xdr:nvSpPr>
          <xdr:cNvPr id="103" name="Rectangle: Rounded Corners 102">
            <a:extLst>
              <a:ext uri="{FF2B5EF4-FFF2-40B4-BE49-F238E27FC236}">
                <a16:creationId xmlns:a16="http://schemas.microsoft.com/office/drawing/2014/main" id="{B0556770-D89B-4561-964C-2C70F37FDD7B}"/>
              </a:ext>
            </a:extLst>
          </xdr:cNvPr>
          <xdr:cNvSpPr/>
        </xdr:nvSpPr>
        <xdr:spPr>
          <a:xfrm>
            <a:off x="4279874" y="653330"/>
            <a:ext cx="949902" cy="326488"/>
          </a:xfrm>
          <a:prstGeom prst="roundRect">
            <a:avLst>
              <a:gd name="adj" fmla="val 8046"/>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lumMod val="50000"/>
                  </a:schemeClr>
                </a:solidFill>
              </a:rPr>
              <a:t>Total Attrition</a:t>
            </a:r>
          </a:p>
        </xdr:txBody>
      </xdr:sp>
      <xdr:pic>
        <xdr:nvPicPr>
          <xdr:cNvPr id="130" name="Graphic 129" descr="Gauge outline">
            <a:extLst>
              <a:ext uri="{FF2B5EF4-FFF2-40B4-BE49-F238E27FC236}">
                <a16:creationId xmlns:a16="http://schemas.microsoft.com/office/drawing/2014/main" id="{BAF87CD3-FE2E-E464-342F-01E03D79504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41329" y="895176"/>
            <a:ext cx="421333" cy="415432"/>
          </a:xfrm>
          <a:prstGeom prst="rect">
            <a:avLst/>
          </a:prstGeom>
        </xdr:spPr>
      </xdr:pic>
    </xdr:grpSp>
    <xdr:clientData/>
  </xdr:twoCellAnchor>
  <xdr:twoCellAnchor editAs="oneCell">
    <xdr:from>
      <xdr:col>2</xdr:col>
      <xdr:colOff>45720</xdr:colOff>
      <xdr:row>25</xdr:row>
      <xdr:rowOff>152400</xdr:rowOff>
    </xdr:from>
    <xdr:to>
      <xdr:col>6</xdr:col>
      <xdr:colOff>399346</xdr:colOff>
      <xdr:row>31</xdr:row>
      <xdr:rowOff>99120</xdr:rowOff>
    </xdr:to>
    <mc:AlternateContent xmlns:mc="http://schemas.openxmlformats.org/markup-compatibility/2006" xmlns:a14="http://schemas.microsoft.com/office/drawing/2010/main">
      <mc:Choice Requires="a14">
        <xdr:graphicFrame macro="">
          <xdr:nvGraphicFramePr>
            <xdr:cNvPr id="139" name="Gender 1">
              <a:extLst>
                <a:ext uri="{FF2B5EF4-FFF2-40B4-BE49-F238E27FC236}">
                  <a16:creationId xmlns:a16="http://schemas.microsoft.com/office/drawing/2014/main" id="{DF14A3E8-9449-41AB-B424-2E624EE4D54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64920" y="4724400"/>
              <a:ext cx="2792026" cy="104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281940</xdr:colOff>
      <xdr:row>27</xdr:row>
      <xdr:rowOff>106680</xdr:rowOff>
    </xdr:from>
    <xdr:to>
      <xdr:col>4</xdr:col>
      <xdr:colOff>167640</xdr:colOff>
      <xdr:row>30</xdr:row>
      <xdr:rowOff>53340</xdr:rowOff>
    </xdr:to>
    <xdr:pic>
      <xdr:nvPicPr>
        <xdr:cNvPr id="142" name="Graphic 141" descr="Female Profile with solid fill">
          <a:extLst>
            <a:ext uri="{FF2B5EF4-FFF2-40B4-BE49-F238E27FC236}">
              <a16:creationId xmlns:a16="http://schemas.microsoft.com/office/drawing/2014/main" id="{6FEC44DA-762D-8510-8CB6-9C207CE04B8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10740" y="5044440"/>
          <a:ext cx="495300" cy="495300"/>
        </a:xfrm>
        <a:prstGeom prst="rect">
          <a:avLst/>
        </a:prstGeom>
      </xdr:spPr>
    </xdr:pic>
    <xdr:clientData/>
  </xdr:twoCellAnchor>
  <xdr:twoCellAnchor editAs="oneCell">
    <xdr:from>
      <xdr:col>5</xdr:col>
      <xdr:colOff>165240</xdr:colOff>
      <xdr:row>27</xdr:row>
      <xdr:rowOff>111900</xdr:rowOff>
    </xdr:from>
    <xdr:to>
      <xdr:col>6</xdr:col>
      <xdr:colOff>45720</xdr:colOff>
      <xdr:row>30</xdr:row>
      <xdr:rowOff>53340</xdr:rowOff>
    </xdr:to>
    <xdr:pic>
      <xdr:nvPicPr>
        <xdr:cNvPr id="144" name="Graphic 143" descr="Male profile with solid fill">
          <a:extLst>
            <a:ext uri="{FF2B5EF4-FFF2-40B4-BE49-F238E27FC236}">
              <a16:creationId xmlns:a16="http://schemas.microsoft.com/office/drawing/2014/main" id="{0ABE4DF6-EC95-A36D-CDCB-0CB97E2685F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213240" y="5049660"/>
          <a:ext cx="490080" cy="490080"/>
        </a:xfrm>
        <a:prstGeom prst="rect">
          <a:avLst/>
        </a:prstGeom>
      </xdr:spPr>
    </xdr:pic>
    <xdr:clientData/>
  </xdr:twoCellAnchor>
  <xdr:twoCellAnchor editAs="oneCell">
    <xdr:from>
      <xdr:col>15</xdr:col>
      <xdr:colOff>117232</xdr:colOff>
      <xdr:row>25</xdr:row>
      <xdr:rowOff>91440</xdr:rowOff>
    </xdr:from>
    <xdr:to>
      <xdr:col>23</xdr:col>
      <xdr:colOff>38100</xdr:colOff>
      <xdr:row>31</xdr:row>
      <xdr:rowOff>105508</xdr:rowOff>
    </xdr:to>
    <mc:AlternateContent xmlns:mc="http://schemas.openxmlformats.org/markup-compatibility/2006" xmlns:a14="http://schemas.microsoft.com/office/drawing/2010/main">
      <mc:Choice Requires="a14">
        <xdr:graphicFrame macro="">
          <xdr:nvGraphicFramePr>
            <xdr:cNvPr id="148" name="Job Role 1">
              <a:extLst>
                <a:ext uri="{FF2B5EF4-FFF2-40B4-BE49-F238E27FC236}">
                  <a16:creationId xmlns:a16="http://schemas.microsoft.com/office/drawing/2014/main" id="{AC15F254-F653-4477-87CB-203C931CC795}"/>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9261232" y="4663440"/>
              <a:ext cx="4797668" cy="11113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8708</xdr:colOff>
      <xdr:row>31</xdr:row>
      <xdr:rowOff>7620</xdr:rowOff>
    </xdr:from>
    <xdr:to>
      <xdr:col>22</xdr:col>
      <xdr:colOff>595448</xdr:colOff>
      <xdr:row>32</xdr:row>
      <xdr:rowOff>53339</xdr:rowOff>
    </xdr:to>
    <xdr:sp macro="" textlink="">
      <xdr:nvSpPr>
        <xdr:cNvPr id="150" name="Rectangle 149">
          <a:extLst>
            <a:ext uri="{FF2B5EF4-FFF2-40B4-BE49-F238E27FC236}">
              <a16:creationId xmlns:a16="http://schemas.microsoft.com/office/drawing/2014/main" id="{28E1746D-17D9-87BA-546E-AFC95941C865}"/>
            </a:ext>
          </a:extLst>
        </xdr:cNvPr>
        <xdr:cNvSpPr/>
      </xdr:nvSpPr>
      <xdr:spPr>
        <a:xfrm>
          <a:off x="12200708" y="5676900"/>
          <a:ext cx="1805940" cy="228599"/>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Attrition</a:t>
          </a:r>
          <a:r>
            <a:rPr lang="en-GB" sz="1100"/>
            <a:t> </a:t>
          </a:r>
          <a:r>
            <a:rPr lang="en-GB" sz="1100">
              <a:solidFill>
                <a:schemeClr val="bg1">
                  <a:lumMod val="50000"/>
                </a:schemeClr>
              </a:solidFill>
            </a:rPr>
            <a:t>by</a:t>
          </a:r>
          <a:r>
            <a:rPr lang="en-GB" sz="1100" baseline="0">
              <a:solidFill>
                <a:schemeClr val="bg1">
                  <a:lumMod val="50000"/>
                </a:schemeClr>
              </a:solidFill>
            </a:rPr>
            <a:t> Job Role</a:t>
          </a:r>
          <a:endParaRPr lang="en-GB" sz="1100">
            <a:solidFill>
              <a:schemeClr val="bg1">
                <a:lumMod val="50000"/>
              </a:schemeClr>
            </a:solidFill>
          </a:endParaRPr>
        </a:p>
      </xdr:txBody>
    </xdr:sp>
    <xdr:clientData/>
  </xdr:twoCellAnchor>
  <xdr:twoCellAnchor>
    <xdr:from>
      <xdr:col>15</xdr:col>
      <xdr:colOff>143488</xdr:colOff>
      <xdr:row>19</xdr:row>
      <xdr:rowOff>124430</xdr:rowOff>
    </xdr:from>
    <xdr:to>
      <xdr:col>16</xdr:col>
      <xdr:colOff>415888</xdr:colOff>
      <xdr:row>23</xdr:row>
      <xdr:rowOff>153599</xdr:rowOff>
    </xdr:to>
    <xdr:graphicFrame macro="">
      <xdr:nvGraphicFramePr>
        <xdr:cNvPr id="160" name="Chart 159">
          <a:extLst>
            <a:ext uri="{FF2B5EF4-FFF2-40B4-BE49-F238E27FC236}">
              <a16:creationId xmlns:a16="http://schemas.microsoft.com/office/drawing/2014/main" id="{252A9976-056A-F9C3-5CCA-1FC6D3889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17930</xdr:colOff>
      <xdr:row>10</xdr:row>
      <xdr:rowOff>0</xdr:rowOff>
    </xdr:from>
    <xdr:to>
      <xdr:col>6</xdr:col>
      <xdr:colOff>313765</xdr:colOff>
      <xdr:row>12</xdr:row>
      <xdr:rowOff>17929</xdr:rowOff>
    </xdr:to>
    <xdr:sp macro="" textlink="">
      <xdr:nvSpPr>
        <xdr:cNvPr id="171" name="Rectangle: Rounded Corners 170">
          <a:extLst>
            <a:ext uri="{FF2B5EF4-FFF2-40B4-BE49-F238E27FC236}">
              <a16:creationId xmlns:a16="http://schemas.microsoft.com/office/drawing/2014/main" id="{908EFBFC-2E7F-8939-8849-333E791D4D89}"/>
            </a:ext>
          </a:extLst>
        </xdr:cNvPr>
        <xdr:cNvSpPr/>
      </xdr:nvSpPr>
      <xdr:spPr>
        <a:xfrm>
          <a:off x="3065930" y="1792941"/>
          <a:ext cx="905435" cy="376517"/>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lumMod val="50000"/>
                </a:schemeClr>
              </a:solidFill>
            </a:rPr>
            <a:t>Average</a:t>
          </a:r>
          <a:r>
            <a:rPr lang="en-GB" sz="1100" baseline="0">
              <a:solidFill>
                <a:schemeClr val="bg1">
                  <a:lumMod val="50000"/>
                </a:schemeClr>
              </a:solidFill>
            </a:rPr>
            <a:t> Age</a:t>
          </a:r>
          <a:endParaRPr lang="en-GB" sz="1100">
            <a:solidFill>
              <a:schemeClr val="bg1">
                <a:lumMod val="50000"/>
              </a:schemeClr>
            </a:solidFill>
          </a:endParaRPr>
        </a:p>
      </xdr:txBody>
    </xdr:sp>
    <xdr:clientData/>
  </xdr:twoCellAnchor>
  <xdr:twoCellAnchor>
    <xdr:from>
      <xdr:col>5</xdr:col>
      <xdr:colOff>179295</xdr:colOff>
      <xdr:row>11</xdr:row>
      <xdr:rowOff>44826</xdr:rowOff>
    </xdr:from>
    <xdr:to>
      <xdr:col>6</xdr:col>
      <xdr:colOff>304801</xdr:colOff>
      <xdr:row>13</xdr:row>
      <xdr:rowOff>98614</xdr:rowOff>
    </xdr:to>
    <xdr:sp macro="" textlink="KPI!B11">
      <xdr:nvSpPr>
        <xdr:cNvPr id="174" name="Rectangle: Rounded Corners 173">
          <a:extLst>
            <a:ext uri="{FF2B5EF4-FFF2-40B4-BE49-F238E27FC236}">
              <a16:creationId xmlns:a16="http://schemas.microsoft.com/office/drawing/2014/main" id="{FB5532ED-9018-433C-8E52-D9D72095FE71}"/>
            </a:ext>
          </a:extLst>
        </xdr:cNvPr>
        <xdr:cNvSpPr/>
      </xdr:nvSpPr>
      <xdr:spPr>
        <a:xfrm>
          <a:off x="3227295" y="2017061"/>
          <a:ext cx="735106" cy="412377"/>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FCE2A80-13E5-496E-B9AD-1D53A19DDB9B}" type="TxLink">
            <a:rPr lang="en-US" sz="1100" b="0" i="0" u="none" strike="noStrike">
              <a:solidFill>
                <a:schemeClr val="bg1"/>
              </a:solidFill>
              <a:latin typeface="Aptos Narrow"/>
              <a:ea typeface="+mn-ea"/>
              <a:cs typeface="+mn-cs"/>
            </a:rPr>
            <a:pPr marL="0" indent="0" algn="l"/>
            <a:t>33.9</a:t>
          </a:fld>
          <a:endParaRPr lang="en-GB" sz="1100" b="0" i="0" u="none" strike="noStrike">
            <a:solidFill>
              <a:schemeClr val="bg1"/>
            </a:solidFill>
            <a:latin typeface="Aptos Narrow"/>
            <a:ea typeface="+mn-ea"/>
            <a:cs typeface="+mn-cs"/>
          </a:endParaRPr>
        </a:p>
      </xdr:txBody>
    </xdr:sp>
    <xdr:clientData/>
  </xdr:twoCellAnchor>
  <xdr:twoCellAnchor>
    <xdr:from>
      <xdr:col>20</xdr:col>
      <xdr:colOff>537883</xdr:colOff>
      <xdr:row>4</xdr:row>
      <xdr:rowOff>174368</xdr:rowOff>
    </xdr:from>
    <xdr:to>
      <xdr:col>22</xdr:col>
      <xdr:colOff>53789</xdr:colOff>
      <xdr:row>7</xdr:row>
      <xdr:rowOff>45277</xdr:rowOff>
    </xdr:to>
    <xdr:sp macro="" textlink="KPI!C11">
      <xdr:nvSpPr>
        <xdr:cNvPr id="175" name="Rectangle: Rounded Corners 174">
          <a:extLst>
            <a:ext uri="{FF2B5EF4-FFF2-40B4-BE49-F238E27FC236}">
              <a16:creationId xmlns:a16="http://schemas.microsoft.com/office/drawing/2014/main" id="{F935FD52-E1A4-442A-AA7B-23591E466EAF}"/>
            </a:ext>
          </a:extLst>
        </xdr:cNvPr>
        <xdr:cNvSpPr/>
      </xdr:nvSpPr>
      <xdr:spPr>
        <a:xfrm>
          <a:off x="12729883" y="905888"/>
          <a:ext cx="735106" cy="419549"/>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A9805FE-C316-4AB4-8379-9315839C2A7B}" type="TxLink">
            <a:rPr lang="en-US" sz="1100" b="0" i="0" u="none" strike="noStrike">
              <a:solidFill>
                <a:schemeClr val="bg1"/>
              </a:solidFill>
              <a:latin typeface="Aptos Narrow"/>
              <a:ea typeface="+mn-ea"/>
              <a:cs typeface="+mn-cs"/>
            </a:rPr>
            <a:pPr marL="0" indent="0" algn="l"/>
            <a:t>6.2</a:t>
          </a:fld>
          <a:endParaRPr lang="en-GB" sz="1100" b="0" i="0" u="none" strike="noStrike">
            <a:solidFill>
              <a:schemeClr val="bg1"/>
            </a:solidFill>
            <a:latin typeface="Aptos Narrow"/>
            <a:ea typeface="+mn-ea"/>
            <a:cs typeface="+mn-cs"/>
          </a:endParaRPr>
        </a:p>
      </xdr:txBody>
    </xdr:sp>
    <xdr:clientData/>
  </xdr:twoCellAnchor>
  <xdr:twoCellAnchor>
    <xdr:from>
      <xdr:col>13</xdr:col>
      <xdr:colOff>179295</xdr:colOff>
      <xdr:row>8</xdr:row>
      <xdr:rowOff>89640</xdr:rowOff>
    </xdr:from>
    <xdr:to>
      <xdr:col>14</xdr:col>
      <xdr:colOff>304801</xdr:colOff>
      <xdr:row>10</xdr:row>
      <xdr:rowOff>143429</xdr:rowOff>
    </xdr:to>
    <xdr:sp macro="" textlink="KPI!D11">
      <xdr:nvSpPr>
        <xdr:cNvPr id="176" name="Rectangle: Rounded Corners 175">
          <a:extLst>
            <a:ext uri="{FF2B5EF4-FFF2-40B4-BE49-F238E27FC236}">
              <a16:creationId xmlns:a16="http://schemas.microsoft.com/office/drawing/2014/main" id="{1915C905-58F8-4808-9D0A-72D4D7A7CD0B}"/>
            </a:ext>
          </a:extLst>
        </xdr:cNvPr>
        <xdr:cNvSpPr/>
      </xdr:nvSpPr>
      <xdr:spPr>
        <a:xfrm>
          <a:off x="8104095" y="1523993"/>
          <a:ext cx="735106" cy="412377"/>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62E4894-734F-4469-9238-C815F79AD9A3}" type="TxLink">
            <a:rPr lang="en-US" sz="1100" b="0" i="0" u="none" strike="noStrike">
              <a:solidFill>
                <a:schemeClr val="bg1"/>
              </a:solidFill>
              <a:latin typeface="Aptos Narrow"/>
              <a:ea typeface="+mn-ea"/>
              <a:cs typeface="+mn-cs"/>
            </a:rPr>
            <a:pPr marL="0" indent="0" algn="l"/>
            <a:t>6.3</a:t>
          </a:fld>
          <a:endParaRPr lang="en-GB" sz="1100" b="0" i="0" u="none" strike="noStrike">
            <a:solidFill>
              <a:schemeClr val="bg1"/>
            </a:solidFill>
            <a:latin typeface="Aptos Narrow"/>
            <a:ea typeface="+mn-ea"/>
            <a:cs typeface="+mn-cs"/>
          </a:endParaRPr>
        </a:p>
      </xdr:txBody>
    </xdr:sp>
    <xdr:clientData/>
  </xdr:twoCellAnchor>
  <xdr:twoCellAnchor>
    <xdr:from>
      <xdr:col>21</xdr:col>
      <xdr:colOff>161366</xdr:colOff>
      <xdr:row>18</xdr:row>
      <xdr:rowOff>17931</xdr:rowOff>
    </xdr:from>
    <xdr:to>
      <xdr:col>22</xdr:col>
      <xdr:colOff>609599</xdr:colOff>
      <xdr:row>20</xdr:row>
      <xdr:rowOff>71720</xdr:rowOff>
    </xdr:to>
    <xdr:sp macro="" textlink="KPI!F11">
      <xdr:nvSpPr>
        <xdr:cNvPr id="178" name="Rectangle: Rounded Corners 177">
          <a:extLst>
            <a:ext uri="{FF2B5EF4-FFF2-40B4-BE49-F238E27FC236}">
              <a16:creationId xmlns:a16="http://schemas.microsoft.com/office/drawing/2014/main" id="{C44A618F-4F77-4EC4-81D1-74A3F2C667B4}"/>
            </a:ext>
          </a:extLst>
        </xdr:cNvPr>
        <xdr:cNvSpPr/>
      </xdr:nvSpPr>
      <xdr:spPr>
        <a:xfrm>
          <a:off x="12962966" y="3245225"/>
          <a:ext cx="1057833" cy="412377"/>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1C52430-A31D-4E39-87CE-8695E98BD956}" type="TxLink">
            <a:rPr lang="en-US" sz="1100" b="0" i="0" u="none" strike="noStrike">
              <a:solidFill>
                <a:schemeClr val="bg1"/>
              </a:solidFill>
              <a:latin typeface="Aptos Narrow"/>
              <a:ea typeface="+mn-ea"/>
              <a:cs typeface="+mn-cs"/>
            </a:rPr>
            <a:pPr marL="0" indent="0" algn="l"/>
            <a:t>£62,145.3</a:t>
          </a:fld>
          <a:endParaRPr lang="en-GB" sz="1100" b="0" i="0" u="none" strike="noStrike">
            <a:solidFill>
              <a:schemeClr val="bg1"/>
            </a:solidFill>
            <a:latin typeface="Aptos Narrow"/>
            <a:ea typeface="+mn-ea"/>
            <a:cs typeface="+mn-cs"/>
          </a:endParaRPr>
        </a:p>
      </xdr:txBody>
    </xdr:sp>
    <xdr:clientData/>
  </xdr:twoCellAnchor>
  <xdr:twoCellAnchor>
    <xdr:from>
      <xdr:col>19</xdr:col>
      <xdr:colOff>600635</xdr:colOff>
      <xdr:row>3</xdr:row>
      <xdr:rowOff>89649</xdr:rowOff>
    </xdr:from>
    <xdr:to>
      <xdr:col>22</xdr:col>
      <xdr:colOff>466165</xdr:colOff>
      <xdr:row>5</xdr:row>
      <xdr:rowOff>80682</xdr:rowOff>
    </xdr:to>
    <xdr:sp macro="" textlink="">
      <xdr:nvSpPr>
        <xdr:cNvPr id="180" name="Rectangle: Rounded Corners 179">
          <a:extLst>
            <a:ext uri="{FF2B5EF4-FFF2-40B4-BE49-F238E27FC236}">
              <a16:creationId xmlns:a16="http://schemas.microsoft.com/office/drawing/2014/main" id="{D5B2E060-BC89-4DC0-BB80-18287DCC363E}"/>
            </a:ext>
          </a:extLst>
        </xdr:cNvPr>
        <xdr:cNvSpPr/>
      </xdr:nvSpPr>
      <xdr:spPr>
        <a:xfrm>
          <a:off x="12183035" y="627531"/>
          <a:ext cx="1694330" cy="349622"/>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chemeClr val="bg1">
                  <a:lumMod val="50000"/>
                </a:schemeClr>
              </a:solidFill>
            </a:rPr>
            <a:t>Average Years of Service</a:t>
          </a:r>
          <a:endParaRPr lang="en-GB" sz="1100">
            <a:solidFill>
              <a:schemeClr val="bg1">
                <a:lumMod val="50000"/>
              </a:schemeClr>
            </a:solidFill>
          </a:endParaRPr>
        </a:p>
      </xdr:txBody>
    </xdr:sp>
    <xdr:clientData/>
  </xdr:twoCellAnchor>
  <xdr:twoCellAnchor>
    <xdr:from>
      <xdr:col>12</xdr:col>
      <xdr:colOff>304800</xdr:colOff>
      <xdr:row>7</xdr:row>
      <xdr:rowOff>26897</xdr:rowOff>
    </xdr:from>
    <xdr:to>
      <xdr:col>14</xdr:col>
      <xdr:colOff>591670</xdr:colOff>
      <xdr:row>8</xdr:row>
      <xdr:rowOff>143434</xdr:rowOff>
    </xdr:to>
    <xdr:sp macro="" textlink="">
      <xdr:nvSpPr>
        <xdr:cNvPr id="181" name="Rectangle: Rounded Corners 180">
          <a:extLst>
            <a:ext uri="{FF2B5EF4-FFF2-40B4-BE49-F238E27FC236}">
              <a16:creationId xmlns:a16="http://schemas.microsoft.com/office/drawing/2014/main" id="{5F70C0AF-74E3-485B-BFBF-0FEF837A8133}"/>
            </a:ext>
          </a:extLst>
        </xdr:cNvPr>
        <xdr:cNvSpPr/>
      </xdr:nvSpPr>
      <xdr:spPr>
        <a:xfrm>
          <a:off x="7620000" y="1281956"/>
          <a:ext cx="1506070" cy="295831"/>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lumMod val="50000"/>
                </a:schemeClr>
              </a:solidFill>
            </a:rPr>
            <a:t>Average</a:t>
          </a:r>
          <a:r>
            <a:rPr lang="en-GB" sz="1100" baseline="0">
              <a:solidFill>
                <a:schemeClr val="bg1">
                  <a:lumMod val="50000"/>
                </a:schemeClr>
              </a:solidFill>
            </a:rPr>
            <a:t> Performance</a:t>
          </a:r>
          <a:endParaRPr lang="en-GB" sz="1100">
            <a:solidFill>
              <a:schemeClr val="bg1">
                <a:lumMod val="50000"/>
              </a:schemeClr>
            </a:solidFill>
          </a:endParaRPr>
        </a:p>
      </xdr:txBody>
    </xdr:sp>
    <xdr:clientData/>
  </xdr:twoCellAnchor>
  <xdr:twoCellAnchor>
    <xdr:from>
      <xdr:col>19</xdr:col>
      <xdr:colOff>349623</xdr:colOff>
      <xdr:row>18</xdr:row>
      <xdr:rowOff>44825</xdr:rowOff>
    </xdr:from>
    <xdr:to>
      <xdr:col>21</xdr:col>
      <xdr:colOff>161365</xdr:colOff>
      <xdr:row>19</xdr:row>
      <xdr:rowOff>152400</xdr:rowOff>
    </xdr:to>
    <xdr:sp macro="" textlink="">
      <xdr:nvSpPr>
        <xdr:cNvPr id="182" name="Rectangle: Rounded Corners 181">
          <a:extLst>
            <a:ext uri="{FF2B5EF4-FFF2-40B4-BE49-F238E27FC236}">
              <a16:creationId xmlns:a16="http://schemas.microsoft.com/office/drawing/2014/main" id="{06A96721-B5A4-4D99-980A-61555FD588B0}"/>
            </a:ext>
          </a:extLst>
        </xdr:cNvPr>
        <xdr:cNvSpPr/>
      </xdr:nvSpPr>
      <xdr:spPr>
        <a:xfrm>
          <a:off x="11932023" y="3272119"/>
          <a:ext cx="1030942" cy="286869"/>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aseline="0">
              <a:solidFill>
                <a:schemeClr val="bg1">
                  <a:lumMod val="50000"/>
                </a:schemeClr>
              </a:solidFill>
            </a:rPr>
            <a:t>Average Salary</a:t>
          </a:r>
          <a:endParaRPr lang="en-GB" sz="1100">
            <a:solidFill>
              <a:schemeClr val="bg1">
                <a:lumMod val="50000"/>
              </a:schemeClr>
            </a:solidFill>
          </a:endParaRPr>
        </a:p>
      </xdr:txBody>
    </xdr:sp>
    <xdr:clientData/>
  </xdr:twoCellAnchor>
  <xdr:twoCellAnchor>
    <xdr:from>
      <xdr:col>7</xdr:col>
      <xdr:colOff>15689</xdr:colOff>
      <xdr:row>27</xdr:row>
      <xdr:rowOff>81130</xdr:rowOff>
    </xdr:from>
    <xdr:to>
      <xdr:col>7</xdr:col>
      <xdr:colOff>510540</xdr:colOff>
      <xdr:row>29</xdr:row>
      <xdr:rowOff>0</xdr:rowOff>
    </xdr:to>
    <xdr:sp macro="" textlink="KPI!E11">
      <xdr:nvSpPr>
        <xdr:cNvPr id="183" name="Rectangle: Rounded Corners 182">
          <a:extLst>
            <a:ext uri="{FF2B5EF4-FFF2-40B4-BE49-F238E27FC236}">
              <a16:creationId xmlns:a16="http://schemas.microsoft.com/office/drawing/2014/main" id="{8E5D0004-C397-492E-98EE-EFCE5E02340B}"/>
            </a:ext>
          </a:extLst>
        </xdr:cNvPr>
        <xdr:cNvSpPr/>
      </xdr:nvSpPr>
      <xdr:spPr>
        <a:xfrm>
          <a:off x="4282889" y="5018890"/>
          <a:ext cx="494851" cy="28463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C7F3189-78F0-43A4-8F36-FC06A13D2F9B}" type="TxLink">
            <a:rPr lang="en-US" sz="1100" b="0" i="0" u="none" strike="noStrike">
              <a:solidFill>
                <a:schemeClr val="bg1"/>
              </a:solidFill>
              <a:latin typeface="Aptos Narrow"/>
              <a:ea typeface="+mn-ea"/>
              <a:cs typeface="+mn-cs"/>
            </a:rPr>
            <a:pPr marL="0" indent="0" algn="l"/>
            <a:t>3.8</a:t>
          </a:fld>
          <a:endParaRPr lang="en-GB" sz="1100" b="0" i="0" u="none" strike="noStrike">
            <a:solidFill>
              <a:schemeClr val="bg1"/>
            </a:solidFill>
            <a:latin typeface="Aptos Narrow"/>
            <a:ea typeface="+mn-ea"/>
            <a:cs typeface="+mn-cs"/>
          </a:endParaRPr>
        </a:p>
      </xdr:txBody>
    </xdr:sp>
    <xdr:clientData/>
  </xdr:twoCellAnchor>
  <xdr:twoCellAnchor>
    <xdr:from>
      <xdr:col>6</xdr:col>
      <xdr:colOff>475128</xdr:colOff>
      <xdr:row>26</xdr:row>
      <xdr:rowOff>3</xdr:rowOff>
    </xdr:from>
    <xdr:to>
      <xdr:col>9</xdr:col>
      <xdr:colOff>412376</xdr:colOff>
      <xdr:row>27</xdr:row>
      <xdr:rowOff>170331</xdr:rowOff>
    </xdr:to>
    <xdr:sp macro="" textlink="">
      <xdr:nvSpPr>
        <xdr:cNvPr id="184" name="Rectangle: Rounded Corners 183">
          <a:extLst>
            <a:ext uri="{FF2B5EF4-FFF2-40B4-BE49-F238E27FC236}">
              <a16:creationId xmlns:a16="http://schemas.microsoft.com/office/drawing/2014/main" id="{B4FB3E31-DE07-4980-9CA7-C359125EF0A2}"/>
            </a:ext>
          </a:extLst>
        </xdr:cNvPr>
        <xdr:cNvSpPr/>
      </xdr:nvSpPr>
      <xdr:spPr>
        <a:xfrm>
          <a:off x="4132728" y="4661650"/>
          <a:ext cx="1766048" cy="349622"/>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b="0" i="0" u="none" strike="noStrike">
              <a:solidFill>
                <a:schemeClr val="bg1">
                  <a:lumMod val="50000"/>
                </a:schemeClr>
              </a:solidFill>
              <a:latin typeface="Aptos Narrow"/>
              <a:ea typeface="+mn-ea"/>
              <a:cs typeface="+mn-cs"/>
            </a:rPr>
            <a:t>Average Satisfaction Rating</a:t>
          </a:r>
        </a:p>
      </xdr:txBody>
    </xdr:sp>
    <xdr:clientData/>
  </xdr:twoCellAnchor>
  <xdr:twoCellAnchor>
    <xdr:from>
      <xdr:col>15</xdr:col>
      <xdr:colOff>52048</xdr:colOff>
      <xdr:row>19</xdr:row>
      <xdr:rowOff>76808</xdr:rowOff>
    </xdr:from>
    <xdr:to>
      <xdr:col>23</xdr:col>
      <xdr:colOff>76200</xdr:colOff>
      <xdr:row>25</xdr:row>
      <xdr:rowOff>45720</xdr:rowOff>
    </xdr:to>
    <xdr:grpSp>
      <xdr:nvGrpSpPr>
        <xdr:cNvPr id="195" name="Group 194">
          <a:extLst>
            <a:ext uri="{FF2B5EF4-FFF2-40B4-BE49-F238E27FC236}">
              <a16:creationId xmlns:a16="http://schemas.microsoft.com/office/drawing/2014/main" id="{94A0D97F-35D2-B3EC-3F5E-C8CBDB81EB14}"/>
            </a:ext>
          </a:extLst>
        </xdr:cNvPr>
        <xdr:cNvGrpSpPr/>
      </xdr:nvGrpSpPr>
      <xdr:grpSpPr>
        <a:xfrm>
          <a:off x="9196048" y="3551528"/>
          <a:ext cx="4900952" cy="1066192"/>
          <a:chOff x="9211288" y="3582008"/>
          <a:chExt cx="5001692" cy="1111962"/>
        </a:xfrm>
      </xdr:grpSpPr>
      <xdr:grpSp>
        <xdr:nvGrpSpPr>
          <xdr:cNvPr id="193" name="Group 192">
            <a:extLst>
              <a:ext uri="{FF2B5EF4-FFF2-40B4-BE49-F238E27FC236}">
                <a16:creationId xmlns:a16="http://schemas.microsoft.com/office/drawing/2014/main" id="{A0932022-9EE2-AA31-380F-CCF4A9C335CB}"/>
              </a:ext>
            </a:extLst>
          </xdr:cNvPr>
          <xdr:cNvGrpSpPr/>
        </xdr:nvGrpSpPr>
        <xdr:grpSpPr>
          <a:xfrm>
            <a:off x="9211288" y="3582008"/>
            <a:ext cx="5001692" cy="1111962"/>
            <a:chOff x="9211288" y="3574388"/>
            <a:chExt cx="5001692" cy="1111962"/>
          </a:xfrm>
        </xdr:grpSpPr>
        <xdr:graphicFrame macro="">
          <xdr:nvGraphicFramePr>
            <xdr:cNvPr id="157" name="Chart 156">
              <a:extLst>
                <a:ext uri="{FF2B5EF4-FFF2-40B4-BE49-F238E27FC236}">
                  <a16:creationId xmlns:a16="http://schemas.microsoft.com/office/drawing/2014/main" id="{D1472D10-6FA0-0994-F074-86B1CB84959D}"/>
                </a:ext>
              </a:extLst>
            </xdr:cNvPr>
            <xdr:cNvGraphicFramePr>
              <a:graphicFrameLocks/>
            </xdr:cNvGraphicFramePr>
          </xdr:nvGraphicFramePr>
          <xdr:xfrm>
            <a:off x="10430660" y="3599150"/>
            <a:ext cx="1342800" cy="108720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158" name="Chart 157">
              <a:extLst>
                <a:ext uri="{FF2B5EF4-FFF2-40B4-BE49-F238E27FC236}">
                  <a16:creationId xmlns:a16="http://schemas.microsoft.com/office/drawing/2014/main" id="{8E772381-4C82-6429-17B2-45F3A0F83893}"/>
                </a:ext>
              </a:extLst>
            </xdr:cNvPr>
            <xdr:cNvGraphicFramePr>
              <a:graphicFrameLocks/>
            </xdr:cNvGraphicFramePr>
          </xdr:nvGraphicFramePr>
          <xdr:xfrm>
            <a:off x="11650420" y="3574388"/>
            <a:ext cx="1342800" cy="1087200"/>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163" name="Chart 162">
              <a:extLst>
                <a:ext uri="{FF2B5EF4-FFF2-40B4-BE49-F238E27FC236}">
                  <a16:creationId xmlns:a16="http://schemas.microsoft.com/office/drawing/2014/main" id="{5447EBC3-0F48-0066-6181-32C6FC639767}"/>
                </a:ext>
              </a:extLst>
            </xdr:cNvPr>
            <xdr:cNvGraphicFramePr>
              <a:graphicFrameLocks/>
            </xdr:cNvGraphicFramePr>
          </xdr:nvGraphicFramePr>
          <xdr:xfrm>
            <a:off x="12870180" y="3596640"/>
            <a:ext cx="1342800" cy="1087200"/>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169" name="Chart 168">
              <a:extLst>
                <a:ext uri="{FF2B5EF4-FFF2-40B4-BE49-F238E27FC236}">
                  <a16:creationId xmlns:a16="http://schemas.microsoft.com/office/drawing/2014/main" id="{C3A16834-FA6D-BFA6-3932-D0B4E23F526A}"/>
                </a:ext>
              </a:extLst>
            </xdr:cNvPr>
            <xdr:cNvGraphicFramePr>
              <a:graphicFrameLocks/>
            </xdr:cNvGraphicFramePr>
          </xdr:nvGraphicFramePr>
          <xdr:xfrm>
            <a:off x="9211288" y="3599150"/>
            <a:ext cx="1342412" cy="1087150"/>
          </xdr:xfrm>
          <a:graphic>
            <a:graphicData uri="http://schemas.openxmlformats.org/drawingml/2006/chart">
              <c:chart xmlns:c="http://schemas.openxmlformats.org/drawingml/2006/chart" xmlns:r="http://schemas.openxmlformats.org/officeDocument/2006/relationships" r:id="rId24"/>
            </a:graphicData>
          </a:graphic>
        </xdr:graphicFrame>
      </xdr:grpSp>
      <xdr:grpSp>
        <xdr:nvGrpSpPr>
          <xdr:cNvPr id="194" name="Group 193">
            <a:extLst>
              <a:ext uri="{FF2B5EF4-FFF2-40B4-BE49-F238E27FC236}">
                <a16:creationId xmlns:a16="http://schemas.microsoft.com/office/drawing/2014/main" id="{256FF2C2-CD5A-5EF1-7D98-0A369E679F71}"/>
              </a:ext>
            </a:extLst>
          </xdr:cNvPr>
          <xdr:cNvGrpSpPr/>
        </xdr:nvGrpSpPr>
        <xdr:grpSpPr>
          <a:xfrm>
            <a:off x="9681883" y="3966439"/>
            <a:ext cx="4041737" cy="354101"/>
            <a:chOff x="9681883" y="3966439"/>
            <a:chExt cx="4041737" cy="354101"/>
          </a:xfrm>
        </xdr:grpSpPr>
        <xdr:sp macro="" textlink="Salary!F17">
          <xdr:nvSpPr>
            <xdr:cNvPr id="185" name="Rectangle: Rounded Corners 184">
              <a:extLst>
                <a:ext uri="{FF2B5EF4-FFF2-40B4-BE49-F238E27FC236}">
                  <a16:creationId xmlns:a16="http://schemas.microsoft.com/office/drawing/2014/main" id="{E401AA2E-A8E8-48DD-82ED-CED8C377ACAB}"/>
                </a:ext>
              </a:extLst>
            </xdr:cNvPr>
            <xdr:cNvSpPr/>
          </xdr:nvSpPr>
          <xdr:spPr>
            <a:xfrm>
              <a:off x="9681883" y="3966439"/>
              <a:ext cx="414617" cy="346481"/>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55F1A5B-9AEA-489F-9896-B27DFC1D3F6B}" type="TxLink">
                <a:rPr lang="en-US" sz="1100" b="0" i="0" u="none" strike="noStrike">
                  <a:solidFill>
                    <a:schemeClr val="bg1"/>
                  </a:solidFill>
                  <a:latin typeface="Aptos Narrow"/>
                  <a:ea typeface="+mn-ea"/>
                  <a:cs typeface="+mn-cs"/>
                </a:rPr>
                <a:pPr marL="0" indent="0" algn="l"/>
                <a:t>87</a:t>
              </a:fld>
              <a:endParaRPr lang="en-GB" sz="1100" b="0" i="0" u="none" strike="noStrike">
                <a:solidFill>
                  <a:schemeClr val="bg1"/>
                </a:solidFill>
                <a:latin typeface="Aptos Narrow"/>
                <a:ea typeface="+mn-ea"/>
                <a:cs typeface="+mn-cs"/>
              </a:endParaRPr>
            </a:p>
          </xdr:txBody>
        </xdr:sp>
        <xdr:sp macro="" textlink="Salary!F18">
          <xdr:nvSpPr>
            <xdr:cNvPr id="186" name="Rectangle: Rounded Corners 185">
              <a:extLst>
                <a:ext uri="{FF2B5EF4-FFF2-40B4-BE49-F238E27FC236}">
                  <a16:creationId xmlns:a16="http://schemas.microsoft.com/office/drawing/2014/main" id="{F67DAE6C-4729-468A-80AB-D32020C1474E}"/>
                </a:ext>
              </a:extLst>
            </xdr:cNvPr>
            <xdr:cNvSpPr/>
          </xdr:nvSpPr>
          <xdr:spPr>
            <a:xfrm>
              <a:off x="10898543" y="3996919"/>
              <a:ext cx="406997" cy="323621"/>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8AA81D2-44A3-4584-BEAF-9C3A13971880}" type="TxLink">
                <a:rPr lang="en-US" sz="1100" b="0" i="0" u="none" strike="noStrike">
                  <a:solidFill>
                    <a:schemeClr val="bg1"/>
                  </a:solidFill>
                  <a:latin typeface="Aptos Narrow"/>
                  <a:ea typeface="+mn-ea"/>
                  <a:cs typeface="+mn-cs"/>
                </a:rPr>
                <a:pPr marL="0" indent="0" algn="l"/>
                <a:t>86</a:t>
              </a:fld>
              <a:endParaRPr lang="en-GB" sz="1100" b="0" i="0" u="none" strike="noStrike">
                <a:solidFill>
                  <a:schemeClr val="bg1"/>
                </a:solidFill>
                <a:latin typeface="Aptos Narrow"/>
                <a:ea typeface="+mn-ea"/>
                <a:cs typeface="+mn-cs"/>
              </a:endParaRPr>
            </a:p>
          </xdr:txBody>
        </xdr:sp>
        <xdr:sp macro="" textlink="Salary!F19">
          <xdr:nvSpPr>
            <xdr:cNvPr id="187" name="Rectangle: Rounded Corners 186">
              <a:extLst>
                <a:ext uri="{FF2B5EF4-FFF2-40B4-BE49-F238E27FC236}">
                  <a16:creationId xmlns:a16="http://schemas.microsoft.com/office/drawing/2014/main" id="{88E84E2D-1E4F-4AE0-9283-FBDD0783114B}"/>
                </a:ext>
              </a:extLst>
            </xdr:cNvPr>
            <xdr:cNvSpPr/>
          </xdr:nvSpPr>
          <xdr:spPr>
            <a:xfrm>
              <a:off x="12107583" y="3996919"/>
              <a:ext cx="406997" cy="323621"/>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518A106-7A54-48D4-AA63-4B009B4636AC}" type="TxLink">
                <a:rPr lang="en-US" sz="1100" b="0" i="0" u="none" strike="noStrike">
                  <a:solidFill>
                    <a:schemeClr val="bg1"/>
                  </a:solidFill>
                  <a:latin typeface="Aptos Narrow"/>
                  <a:ea typeface="+mn-ea"/>
                  <a:cs typeface="+mn-cs"/>
                </a:rPr>
                <a:pPr marL="0" indent="0" algn="l"/>
                <a:t>37</a:t>
              </a:fld>
              <a:endParaRPr lang="en-GB" sz="1100" b="0" i="0" u="none" strike="noStrike">
                <a:solidFill>
                  <a:schemeClr val="bg1"/>
                </a:solidFill>
                <a:latin typeface="Aptos Narrow"/>
                <a:ea typeface="+mn-ea"/>
                <a:cs typeface="+mn-cs"/>
              </a:endParaRPr>
            </a:p>
          </xdr:txBody>
        </xdr:sp>
        <xdr:sp macro="" textlink="Salary!F20">
          <xdr:nvSpPr>
            <xdr:cNvPr id="188" name="Rectangle: Rounded Corners 187">
              <a:extLst>
                <a:ext uri="{FF2B5EF4-FFF2-40B4-BE49-F238E27FC236}">
                  <a16:creationId xmlns:a16="http://schemas.microsoft.com/office/drawing/2014/main" id="{7D902A54-BFE4-44A6-AFBB-C8BEFFD46F92}"/>
                </a:ext>
              </a:extLst>
            </xdr:cNvPr>
            <xdr:cNvSpPr/>
          </xdr:nvSpPr>
          <xdr:spPr>
            <a:xfrm>
              <a:off x="13316623" y="3989299"/>
              <a:ext cx="406997" cy="323621"/>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53A496D-578F-408A-A474-074B1C2BF64C}" type="TxLink">
                <a:rPr lang="en-US" sz="1100" b="0" i="0" u="none" strike="noStrike">
                  <a:solidFill>
                    <a:schemeClr val="bg1"/>
                  </a:solidFill>
                  <a:latin typeface="Aptos Narrow"/>
                  <a:ea typeface="+mn-ea"/>
                  <a:cs typeface="+mn-cs"/>
                </a:rPr>
                <a:pPr marL="0" indent="0" algn="l"/>
                <a:t>24</a:t>
              </a:fld>
              <a:endParaRPr lang="en-GB" sz="1100" b="0" i="0" u="none" strike="noStrike">
                <a:solidFill>
                  <a:schemeClr val="bg1"/>
                </a:solidFill>
                <a:latin typeface="Aptos Narrow"/>
                <a:ea typeface="+mn-ea"/>
                <a:cs typeface="+mn-cs"/>
              </a:endParaRPr>
            </a:p>
          </xdr:txBody>
        </xdr:sp>
      </xdr:grpSp>
    </xdr:grpSp>
    <xdr:clientData/>
  </xdr:twoCellAnchor>
  <xdr:twoCellAnchor>
    <xdr:from>
      <xdr:col>15</xdr:col>
      <xdr:colOff>434341</xdr:colOff>
      <xdr:row>24</xdr:row>
      <xdr:rowOff>91440</xdr:rowOff>
    </xdr:from>
    <xdr:to>
      <xdr:col>17</xdr:col>
      <xdr:colOff>137160</xdr:colOff>
      <xdr:row>25</xdr:row>
      <xdr:rowOff>152400</xdr:rowOff>
    </xdr:to>
    <xdr:sp macro="" textlink="Salary!E17">
      <xdr:nvSpPr>
        <xdr:cNvPr id="191" name="Rectangle: Rounded Corners 190">
          <a:extLst>
            <a:ext uri="{FF2B5EF4-FFF2-40B4-BE49-F238E27FC236}">
              <a16:creationId xmlns:a16="http://schemas.microsoft.com/office/drawing/2014/main" id="{FCC93C81-24AB-4E1E-861E-0E963A613894}"/>
            </a:ext>
          </a:extLst>
        </xdr:cNvPr>
        <xdr:cNvSpPr/>
      </xdr:nvSpPr>
      <xdr:spPr>
        <a:xfrm>
          <a:off x="9578341" y="4480560"/>
          <a:ext cx="922019" cy="24384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63074ED-1A38-4BE4-B86C-543EB4EDF5C1}" type="TxLink">
            <a:rPr lang="en-US" sz="1100" b="0" i="0" u="none" strike="noStrike">
              <a:solidFill>
                <a:srgbClr val="5D27B6"/>
              </a:solidFill>
              <a:latin typeface="Aptos Narrow"/>
            </a:rPr>
            <a:pPr algn="l"/>
            <a:t>Low</a:t>
          </a:fld>
          <a:endParaRPr lang="en-GB" sz="1100">
            <a:solidFill>
              <a:srgbClr val="5D27B6"/>
            </a:solidFill>
          </a:endParaRPr>
        </a:p>
      </xdr:txBody>
    </xdr:sp>
    <xdr:clientData/>
  </xdr:twoCellAnchor>
  <xdr:twoCellAnchor>
    <xdr:from>
      <xdr:col>17</xdr:col>
      <xdr:colOff>331763</xdr:colOff>
      <xdr:row>24</xdr:row>
      <xdr:rowOff>91440</xdr:rowOff>
    </xdr:from>
    <xdr:to>
      <xdr:col>18</xdr:col>
      <xdr:colOff>560362</xdr:colOff>
      <xdr:row>26</xdr:row>
      <xdr:rowOff>7620</xdr:rowOff>
    </xdr:to>
    <xdr:sp macro="" textlink="Salary!E18">
      <xdr:nvSpPr>
        <xdr:cNvPr id="196" name="Rectangle: Rounded Corners 195">
          <a:extLst>
            <a:ext uri="{FF2B5EF4-FFF2-40B4-BE49-F238E27FC236}">
              <a16:creationId xmlns:a16="http://schemas.microsoft.com/office/drawing/2014/main" id="{5C8A4E2C-F06A-4732-BBF5-24F420DD9DEB}"/>
            </a:ext>
          </a:extLst>
        </xdr:cNvPr>
        <xdr:cNvSpPr/>
      </xdr:nvSpPr>
      <xdr:spPr>
        <a:xfrm>
          <a:off x="10694963" y="4480560"/>
          <a:ext cx="838199" cy="28194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9993C6-93CC-4263-A811-28A7B046EB52}" type="TxLink">
            <a:rPr lang="en-US" sz="1100" b="0" i="0" u="none" strike="noStrike">
              <a:solidFill>
                <a:srgbClr val="05DA97"/>
              </a:solidFill>
              <a:latin typeface="Aptos Narrow"/>
            </a:rPr>
            <a:pPr algn="l"/>
            <a:t>Average</a:t>
          </a:fld>
          <a:endParaRPr lang="en-GB" sz="1100">
            <a:solidFill>
              <a:srgbClr val="05DA97"/>
            </a:solidFill>
          </a:endParaRPr>
        </a:p>
      </xdr:txBody>
    </xdr:sp>
    <xdr:clientData/>
  </xdr:twoCellAnchor>
  <xdr:twoCellAnchor>
    <xdr:from>
      <xdr:col>19</xdr:col>
      <xdr:colOff>351105</xdr:colOff>
      <xdr:row>24</xdr:row>
      <xdr:rowOff>68580</xdr:rowOff>
    </xdr:from>
    <xdr:to>
      <xdr:col>20</xdr:col>
      <xdr:colOff>491196</xdr:colOff>
      <xdr:row>25</xdr:row>
      <xdr:rowOff>152400</xdr:rowOff>
    </xdr:to>
    <xdr:sp macro="" textlink="Salary!E19">
      <xdr:nvSpPr>
        <xdr:cNvPr id="198" name="Rectangle: Rounded Corners 197">
          <a:extLst>
            <a:ext uri="{FF2B5EF4-FFF2-40B4-BE49-F238E27FC236}">
              <a16:creationId xmlns:a16="http://schemas.microsoft.com/office/drawing/2014/main" id="{EBF0DBCD-98B9-CBED-4071-465859FDF78C}"/>
            </a:ext>
          </a:extLst>
        </xdr:cNvPr>
        <xdr:cNvSpPr/>
      </xdr:nvSpPr>
      <xdr:spPr>
        <a:xfrm>
          <a:off x="11933505" y="4457700"/>
          <a:ext cx="749691" cy="26670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173D3EB-90D6-4765-BB2E-DE4B007EB043}" type="TxLink">
            <a:rPr lang="en-US" sz="1100" b="0" i="0" u="none" strike="noStrike">
              <a:solidFill>
                <a:srgbClr val="DF198E"/>
              </a:solidFill>
              <a:latin typeface="Aptos Narrow"/>
            </a:rPr>
            <a:pPr algn="l"/>
            <a:t>Very High</a:t>
          </a:fld>
          <a:endParaRPr lang="en-GB" sz="1100">
            <a:solidFill>
              <a:srgbClr val="DF198E"/>
            </a:solidFill>
          </a:endParaRPr>
        </a:p>
      </xdr:txBody>
    </xdr:sp>
    <xdr:clientData/>
  </xdr:twoCellAnchor>
  <xdr:twoCellAnchor>
    <xdr:from>
      <xdr:col>21</xdr:col>
      <xdr:colOff>388620</xdr:colOff>
      <xdr:row>24</xdr:row>
      <xdr:rowOff>60960</xdr:rowOff>
    </xdr:from>
    <xdr:to>
      <xdr:col>22</xdr:col>
      <xdr:colOff>487680</xdr:colOff>
      <xdr:row>25</xdr:row>
      <xdr:rowOff>137160</xdr:rowOff>
    </xdr:to>
    <xdr:sp macro="" textlink="Salary!E20">
      <xdr:nvSpPr>
        <xdr:cNvPr id="199" name="Rectangle: Rounded Corners 198">
          <a:extLst>
            <a:ext uri="{FF2B5EF4-FFF2-40B4-BE49-F238E27FC236}">
              <a16:creationId xmlns:a16="http://schemas.microsoft.com/office/drawing/2014/main" id="{2CEE4760-C09A-4C84-9BEC-2F948330BF87}"/>
            </a:ext>
          </a:extLst>
        </xdr:cNvPr>
        <xdr:cNvSpPr/>
      </xdr:nvSpPr>
      <xdr:spPr>
        <a:xfrm>
          <a:off x="13190220" y="4450080"/>
          <a:ext cx="708660" cy="25908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697DA7-0EB4-42C9-B13B-CDC9A0F8C27B}" type="TxLink">
            <a:rPr lang="en-US" sz="1100" b="0" i="0" u="none" strike="noStrike">
              <a:solidFill>
                <a:srgbClr val="F06813"/>
              </a:solidFill>
              <a:latin typeface="Aptos Narrow"/>
            </a:rPr>
            <a:pPr algn="l"/>
            <a:t>Very Low</a:t>
          </a:fld>
          <a:endParaRPr lang="en-GB" sz="1100">
            <a:solidFill>
              <a:srgbClr val="F06813"/>
            </a:solidFill>
          </a:endParaRPr>
        </a:p>
      </xdr:txBody>
    </xdr:sp>
    <xdr:clientData/>
  </xdr:twoCellAnchor>
  <xdr:twoCellAnchor>
    <xdr:from>
      <xdr:col>6</xdr:col>
      <xdr:colOff>505608</xdr:colOff>
      <xdr:row>29</xdr:row>
      <xdr:rowOff>82030</xdr:rowOff>
    </xdr:from>
    <xdr:to>
      <xdr:col>9</xdr:col>
      <xdr:colOff>22860</xdr:colOff>
      <xdr:row>30</xdr:row>
      <xdr:rowOff>121920</xdr:rowOff>
    </xdr:to>
    <xdr:sp macro="" textlink="Satisfaction!E16">
      <xdr:nvSpPr>
        <xdr:cNvPr id="200" name="Rectangle: Rounded Corners 199">
          <a:extLst>
            <a:ext uri="{FF2B5EF4-FFF2-40B4-BE49-F238E27FC236}">
              <a16:creationId xmlns:a16="http://schemas.microsoft.com/office/drawing/2014/main" id="{22591891-EB6B-49E2-B2F0-43CFFC27108D}"/>
            </a:ext>
          </a:extLst>
        </xdr:cNvPr>
        <xdr:cNvSpPr/>
      </xdr:nvSpPr>
      <xdr:spPr>
        <a:xfrm>
          <a:off x="4163208" y="5385550"/>
          <a:ext cx="1346052" cy="22277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F36F0E4-5D35-4C92-B4DB-CBB55438BE5C}" type="TxLink">
            <a:rPr lang="en-US" sz="1100" b="1" i="0" u="none" strike="noStrike">
              <a:solidFill>
                <a:srgbClr val="05DA97"/>
              </a:solidFill>
              <a:latin typeface="Aptos Narrow"/>
              <a:ea typeface="+mn-ea"/>
              <a:cs typeface="+mn-cs"/>
            </a:rPr>
            <a:pPr marL="0" indent="0" algn="l"/>
            <a:t>Highly Dissatisfied</a:t>
          </a:fld>
          <a:endParaRPr lang="en-GB" sz="1100" b="1" i="0" u="none" strike="noStrike">
            <a:solidFill>
              <a:srgbClr val="05DA97"/>
            </a:solidFill>
            <a:latin typeface="Aptos Narrow"/>
            <a:ea typeface="+mn-ea"/>
            <a:cs typeface="+mn-cs"/>
          </a:endParaRPr>
        </a:p>
      </xdr:txBody>
    </xdr:sp>
    <xdr:clientData/>
  </xdr:twoCellAnchor>
  <xdr:twoCellAnchor>
    <xdr:from>
      <xdr:col>6</xdr:col>
      <xdr:colOff>505608</xdr:colOff>
      <xdr:row>30</xdr:row>
      <xdr:rowOff>117455</xdr:rowOff>
    </xdr:from>
    <xdr:to>
      <xdr:col>8</xdr:col>
      <xdr:colOff>476250</xdr:colOff>
      <xdr:row>32</xdr:row>
      <xdr:rowOff>8023</xdr:rowOff>
    </xdr:to>
    <xdr:sp macro="" textlink="Satisfaction!E17">
      <xdr:nvSpPr>
        <xdr:cNvPr id="201" name="Rectangle: Rounded Corners 200">
          <a:extLst>
            <a:ext uri="{FF2B5EF4-FFF2-40B4-BE49-F238E27FC236}">
              <a16:creationId xmlns:a16="http://schemas.microsoft.com/office/drawing/2014/main" id="{65839AAF-6749-41AB-A050-52AB735E1247}"/>
            </a:ext>
          </a:extLst>
        </xdr:cNvPr>
        <xdr:cNvSpPr/>
      </xdr:nvSpPr>
      <xdr:spPr>
        <a:xfrm>
          <a:off x="4163208" y="5603855"/>
          <a:ext cx="1189842" cy="256328"/>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8A0270B-84C5-449B-A380-27D81F2B90C4}" type="TxLink">
            <a:rPr lang="en-US" sz="1100" b="1" i="0" u="none" strike="noStrike">
              <a:solidFill>
                <a:srgbClr val="FFC000"/>
              </a:solidFill>
              <a:latin typeface="Aptos Narrow"/>
              <a:ea typeface="+mn-ea"/>
              <a:cs typeface="+mn-cs"/>
            </a:rPr>
            <a:pPr marL="0" indent="0" algn="l"/>
            <a:t>Highly Satisfied</a:t>
          </a:fld>
          <a:endParaRPr lang="en-GB" sz="1100" b="1" i="0" u="none" strike="noStrike">
            <a:solidFill>
              <a:srgbClr val="FFC000"/>
            </a:solidFill>
            <a:latin typeface="Aptos Narrow"/>
            <a:ea typeface="+mn-ea"/>
            <a:cs typeface="+mn-cs"/>
          </a:endParaRPr>
        </a:p>
      </xdr:txBody>
    </xdr:sp>
    <xdr:clientData/>
  </xdr:twoCellAnchor>
  <xdr:twoCellAnchor>
    <xdr:from>
      <xdr:col>6</xdr:col>
      <xdr:colOff>505608</xdr:colOff>
      <xdr:row>31</xdr:row>
      <xdr:rowOff>154786</xdr:rowOff>
    </xdr:from>
    <xdr:to>
      <xdr:col>8</xdr:col>
      <xdr:colOff>38100</xdr:colOff>
      <xdr:row>33</xdr:row>
      <xdr:rowOff>68580</xdr:rowOff>
    </xdr:to>
    <xdr:sp macro="" textlink="Satisfaction!E18">
      <xdr:nvSpPr>
        <xdr:cNvPr id="202" name="Rectangle: Rounded Corners 201">
          <a:extLst>
            <a:ext uri="{FF2B5EF4-FFF2-40B4-BE49-F238E27FC236}">
              <a16:creationId xmlns:a16="http://schemas.microsoft.com/office/drawing/2014/main" id="{E2A371E9-6A21-43DB-8DD5-6489C20300F7}"/>
            </a:ext>
          </a:extLst>
        </xdr:cNvPr>
        <xdr:cNvSpPr/>
      </xdr:nvSpPr>
      <xdr:spPr>
        <a:xfrm>
          <a:off x="4163208" y="5824066"/>
          <a:ext cx="751692" cy="279554"/>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62F83FF-BB97-4B59-AA5C-91C55C0E85C3}" type="TxLink">
            <a:rPr lang="en-US" sz="1100" b="1" i="0" u="none" strike="noStrike">
              <a:solidFill>
                <a:srgbClr val="DF198E"/>
              </a:solidFill>
              <a:latin typeface="Aptos Narrow"/>
              <a:ea typeface="+mn-ea"/>
              <a:cs typeface="+mn-cs"/>
            </a:rPr>
            <a:pPr marL="0" indent="0" algn="l"/>
            <a:t>Satisfied</a:t>
          </a:fld>
          <a:endParaRPr lang="en-GB" sz="1100" b="1" i="0" u="none" strike="noStrike">
            <a:solidFill>
              <a:srgbClr val="DF198E"/>
            </a:solidFill>
            <a:latin typeface="Aptos Narrow"/>
            <a:ea typeface="+mn-ea"/>
            <a:cs typeface="+mn-cs"/>
          </a:endParaRPr>
        </a:p>
      </xdr:txBody>
    </xdr:sp>
    <xdr:clientData/>
  </xdr:twoCellAnchor>
  <xdr:twoCellAnchor>
    <xdr:from>
      <xdr:col>6</xdr:col>
      <xdr:colOff>505608</xdr:colOff>
      <xdr:row>33</xdr:row>
      <xdr:rowOff>8503</xdr:rowOff>
    </xdr:from>
    <xdr:to>
      <xdr:col>8</xdr:col>
      <xdr:colOff>220980</xdr:colOff>
      <xdr:row>34</xdr:row>
      <xdr:rowOff>124593</xdr:rowOff>
    </xdr:to>
    <xdr:sp macro="" textlink="Satisfaction!E19">
      <xdr:nvSpPr>
        <xdr:cNvPr id="203" name="Rectangle: Rounded Corners 202">
          <a:extLst>
            <a:ext uri="{FF2B5EF4-FFF2-40B4-BE49-F238E27FC236}">
              <a16:creationId xmlns:a16="http://schemas.microsoft.com/office/drawing/2014/main" id="{E8668B47-10BF-4828-8043-E699CB3C5EE1}"/>
            </a:ext>
          </a:extLst>
        </xdr:cNvPr>
        <xdr:cNvSpPr/>
      </xdr:nvSpPr>
      <xdr:spPr>
        <a:xfrm>
          <a:off x="4163208" y="6004857"/>
          <a:ext cx="934572" cy="297798"/>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738FFE5-1155-4EB0-BCFE-4ED9F71BE2F5}" type="TxLink">
            <a:rPr lang="en-US" sz="1100" b="1" i="0" u="none" strike="noStrike">
              <a:solidFill>
                <a:srgbClr val="05DA97"/>
              </a:solidFill>
              <a:latin typeface="Aptos Narrow"/>
              <a:ea typeface="+mn-ea"/>
              <a:cs typeface="+mn-cs"/>
            </a:rPr>
            <a:pPr marL="0" indent="0" algn="l"/>
            <a:t>Dissatisfied</a:t>
          </a:fld>
          <a:endParaRPr lang="en-GB" sz="1100" b="1" i="0" u="none" strike="noStrike">
            <a:solidFill>
              <a:srgbClr val="05DA97"/>
            </a:solidFill>
            <a:latin typeface="Aptos Narrow"/>
            <a:ea typeface="+mn-ea"/>
            <a:cs typeface="+mn-cs"/>
          </a:endParaRPr>
        </a:p>
      </xdr:txBody>
    </xdr:sp>
    <xdr:clientData/>
  </xdr:twoCellAnchor>
  <xdr:twoCellAnchor>
    <xdr:from>
      <xdr:col>6</xdr:col>
      <xdr:colOff>505608</xdr:colOff>
      <xdr:row>34</xdr:row>
      <xdr:rowOff>82030</xdr:rowOff>
    </xdr:from>
    <xdr:to>
      <xdr:col>7</xdr:col>
      <xdr:colOff>571500</xdr:colOff>
      <xdr:row>35</xdr:row>
      <xdr:rowOff>175260</xdr:rowOff>
    </xdr:to>
    <xdr:sp macro="" textlink="Satisfaction!E20">
      <xdr:nvSpPr>
        <xdr:cNvPr id="204" name="Rectangle: Rounded Corners 203">
          <a:extLst>
            <a:ext uri="{FF2B5EF4-FFF2-40B4-BE49-F238E27FC236}">
              <a16:creationId xmlns:a16="http://schemas.microsoft.com/office/drawing/2014/main" id="{EF6A8D95-1A99-45EB-B687-55DA45D5088F}"/>
            </a:ext>
          </a:extLst>
        </xdr:cNvPr>
        <xdr:cNvSpPr/>
      </xdr:nvSpPr>
      <xdr:spPr>
        <a:xfrm>
          <a:off x="4163208" y="6299950"/>
          <a:ext cx="675492" cy="276110"/>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A5DFD56-68A4-4185-909C-2119CDC8F283}" type="TxLink">
            <a:rPr lang="en-US" sz="1100" b="1" i="0" u="none" strike="noStrike">
              <a:solidFill>
                <a:srgbClr val="5D27B6"/>
              </a:solidFill>
              <a:latin typeface="Aptos Narrow"/>
              <a:ea typeface="+mn-ea"/>
              <a:cs typeface="+mn-cs"/>
            </a:rPr>
            <a:pPr marL="0" indent="0" algn="l"/>
            <a:t>Average</a:t>
          </a:fld>
          <a:endParaRPr lang="en-GB" sz="1100" b="1" i="0" u="none" strike="noStrike">
            <a:solidFill>
              <a:srgbClr val="5D27B6"/>
            </a:solidFill>
            <a:latin typeface="Aptos Narrow"/>
            <a:ea typeface="+mn-ea"/>
            <a:cs typeface="+mn-cs"/>
          </a:endParaRPr>
        </a:p>
      </xdr:txBody>
    </xdr:sp>
    <xdr:clientData/>
  </xdr:twoCellAnchor>
  <xdr:twoCellAnchor>
    <xdr:from>
      <xdr:col>9</xdr:col>
      <xdr:colOff>123868</xdr:colOff>
      <xdr:row>29</xdr:row>
      <xdr:rowOff>80125</xdr:rowOff>
    </xdr:from>
    <xdr:to>
      <xdr:col>9</xdr:col>
      <xdr:colOff>451698</xdr:colOff>
      <xdr:row>30</xdr:row>
      <xdr:rowOff>159068</xdr:rowOff>
    </xdr:to>
    <xdr:sp macro="" textlink="Satisfaction!F16">
      <xdr:nvSpPr>
        <xdr:cNvPr id="205" name="Rectangle: Rounded Corners 204">
          <a:extLst>
            <a:ext uri="{FF2B5EF4-FFF2-40B4-BE49-F238E27FC236}">
              <a16:creationId xmlns:a16="http://schemas.microsoft.com/office/drawing/2014/main" id="{DA6D0A15-DE1D-4902-BCD4-8E9E1ADBE05F}"/>
            </a:ext>
          </a:extLst>
        </xdr:cNvPr>
        <xdr:cNvSpPr/>
      </xdr:nvSpPr>
      <xdr:spPr>
        <a:xfrm>
          <a:off x="5610268" y="5383645"/>
          <a:ext cx="327830" cy="261823"/>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2E9E3C0-CF3F-44DE-BA9C-6C72854CDC79}" type="TxLink">
            <a:rPr lang="en-US" sz="1100" b="0" i="0" u="none" strike="noStrike">
              <a:solidFill>
                <a:schemeClr val="bg1"/>
              </a:solidFill>
              <a:latin typeface="Aptos Narrow"/>
              <a:ea typeface="+mn-ea"/>
              <a:cs typeface="+mn-cs"/>
            </a:rPr>
            <a:pPr marL="0" indent="0" algn="l"/>
            <a:t>3</a:t>
          </a:fld>
          <a:endParaRPr lang="en-GB" sz="1100" b="0" i="0" u="none" strike="noStrike">
            <a:solidFill>
              <a:schemeClr val="bg1"/>
            </a:solidFill>
            <a:latin typeface="Aptos Narrow"/>
            <a:ea typeface="+mn-ea"/>
            <a:cs typeface="+mn-cs"/>
          </a:endParaRPr>
        </a:p>
      </xdr:txBody>
    </xdr:sp>
    <xdr:clientData/>
  </xdr:twoCellAnchor>
  <xdr:twoCellAnchor>
    <xdr:from>
      <xdr:col>9</xdr:col>
      <xdr:colOff>123868</xdr:colOff>
      <xdr:row>30</xdr:row>
      <xdr:rowOff>127824</xdr:rowOff>
    </xdr:from>
    <xdr:to>
      <xdr:col>9</xdr:col>
      <xdr:colOff>451698</xdr:colOff>
      <xdr:row>32</xdr:row>
      <xdr:rowOff>23887</xdr:rowOff>
    </xdr:to>
    <xdr:sp macro="" textlink="Satisfaction!F17">
      <xdr:nvSpPr>
        <xdr:cNvPr id="206" name="Rectangle: Rounded Corners 205">
          <a:extLst>
            <a:ext uri="{FF2B5EF4-FFF2-40B4-BE49-F238E27FC236}">
              <a16:creationId xmlns:a16="http://schemas.microsoft.com/office/drawing/2014/main" id="{10F51960-55EF-4DC2-9E9B-9B550E6311F0}"/>
            </a:ext>
          </a:extLst>
        </xdr:cNvPr>
        <xdr:cNvSpPr/>
      </xdr:nvSpPr>
      <xdr:spPr>
        <a:xfrm>
          <a:off x="5610268" y="5614224"/>
          <a:ext cx="327830" cy="261823"/>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3514458-4488-4200-BB5B-59F4C4D429CF}" type="TxLink">
            <a:rPr lang="en-US" sz="1100" b="0" i="0" u="none" strike="noStrike">
              <a:solidFill>
                <a:schemeClr val="bg1"/>
              </a:solidFill>
              <a:latin typeface="Aptos Narrow"/>
              <a:ea typeface="+mn-ea"/>
              <a:cs typeface="+mn-cs"/>
            </a:rPr>
            <a:pPr marL="0" indent="0" algn="l"/>
            <a:t>4</a:t>
          </a:fld>
          <a:endParaRPr lang="en-GB" sz="1100" b="0" i="0" u="none" strike="noStrike">
            <a:solidFill>
              <a:schemeClr val="bg1"/>
            </a:solidFill>
            <a:latin typeface="Aptos Narrow"/>
            <a:ea typeface="+mn-ea"/>
            <a:cs typeface="+mn-cs"/>
          </a:endParaRPr>
        </a:p>
      </xdr:txBody>
    </xdr:sp>
    <xdr:clientData/>
  </xdr:twoCellAnchor>
  <xdr:twoCellAnchor>
    <xdr:from>
      <xdr:col>9</xdr:col>
      <xdr:colOff>72212</xdr:colOff>
      <xdr:row>31</xdr:row>
      <xdr:rowOff>152664</xdr:rowOff>
    </xdr:from>
    <xdr:to>
      <xdr:col>9</xdr:col>
      <xdr:colOff>481005</xdr:colOff>
      <xdr:row>33</xdr:row>
      <xdr:rowOff>62280</xdr:rowOff>
    </xdr:to>
    <xdr:sp macro="" textlink="Satisfaction!F18">
      <xdr:nvSpPr>
        <xdr:cNvPr id="207" name="Rectangle: Rounded Corners 206">
          <a:extLst>
            <a:ext uri="{FF2B5EF4-FFF2-40B4-BE49-F238E27FC236}">
              <a16:creationId xmlns:a16="http://schemas.microsoft.com/office/drawing/2014/main" id="{8D0C5D11-85D5-40B0-8F8B-C736AA333D47}"/>
            </a:ext>
          </a:extLst>
        </xdr:cNvPr>
        <xdr:cNvSpPr/>
      </xdr:nvSpPr>
      <xdr:spPr>
        <a:xfrm>
          <a:off x="5558612" y="5785602"/>
          <a:ext cx="408793" cy="273032"/>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7038ACB-2392-4A0A-8B37-C00FAFA4AE55}" type="TxLink">
            <a:rPr lang="en-US" sz="1100" b="0" i="0" u="none" strike="noStrike">
              <a:solidFill>
                <a:schemeClr val="bg1"/>
              </a:solidFill>
              <a:latin typeface="Aptos Narrow"/>
              <a:ea typeface="+mn-ea"/>
              <a:cs typeface="+mn-cs"/>
            </a:rPr>
            <a:pPr marL="0" indent="0" algn="l"/>
            <a:t>43</a:t>
          </a:fld>
          <a:endParaRPr lang="en-GB" sz="1100" b="0" i="0" u="none" strike="noStrike">
            <a:solidFill>
              <a:schemeClr val="bg1"/>
            </a:solidFill>
            <a:latin typeface="Aptos Narrow"/>
            <a:ea typeface="+mn-ea"/>
            <a:cs typeface="+mn-cs"/>
          </a:endParaRPr>
        </a:p>
      </xdr:txBody>
    </xdr:sp>
    <xdr:clientData/>
  </xdr:twoCellAnchor>
  <xdr:twoCellAnchor>
    <xdr:from>
      <xdr:col>9</xdr:col>
      <xdr:colOff>60862</xdr:colOff>
      <xdr:row>33</xdr:row>
      <xdr:rowOff>1729</xdr:rowOff>
    </xdr:from>
    <xdr:to>
      <xdr:col>9</xdr:col>
      <xdr:colOff>522042</xdr:colOff>
      <xdr:row>34</xdr:row>
      <xdr:rowOff>174749</xdr:rowOff>
    </xdr:to>
    <xdr:sp macro="" textlink="Satisfaction!F19">
      <xdr:nvSpPr>
        <xdr:cNvPr id="208" name="Rectangle: Rounded Corners 207">
          <a:extLst>
            <a:ext uri="{FF2B5EF4-FFF2-40B4-BE49-F238E27FC236}">
              <a16:creationId xmlns:a16="http://schemas.microsoft.com/office/drawing/2014/main" id="{C253A0D7-E908-4F66-B027-093C5545D1E4}"/>
            </a:ext>
          </a:extLst>
        </xdr:cNvPr>
        <xdr:cNvSpPr/>
      </xdr:nvSpPr>
      <xdr:spPr>
        <a:xfrm>
          <a:off x="5547262" y="5998083"/>
          <a:ext cx="461180" cy="354728"/>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2E82290-593E-4424-9A66-AF084C93D9FE}" type="TxLink">
            <a:rPr lang="en-US" sz="1100" b="0" i="0" u="none" strike="noStrike">
              <a:solidFill>
                <a:schemeClr val="bg1"/>
              </a:solidFill>
              <a:latin typeface="Aptos Narrow"/>
              <a:ea typeface="+mn-ea"/>
              <a:cs typeface="+mn-cs"/>
            </a:rPr>
            <a:pPr marL="0" indent="0" algn="l"/>
            <a:t>68</a:t>
          </a:fld>
          <a:endParaRPr lang="en-GB" sz="1100" b="0" i="0" u="none" strike="noStrike">
            <a:solidFill>
              <a:schemeClr val="bg1"/>
            </a:solidFill>
            <a:latin typeface="Aptos Narrow"/>
            <a:ea typeface="+mn-ea"/>
            <a:cs typeface="+mn-cs"/>
          </a:endParaRPr>
        </a:p>
      </xdr:txBody>
    </xdr:sp>
    <xdr:clientData/>
  </xdr:twoCellAnchor>
  <xdr:twoCellAnchor>
    <xdr:from>
      <xdr:col>9</xdr:col>
      <xdr:colOff>2242</xdr:colOff>
      <xdr:row>34</xdr:row>
      <xdr:rowOff>114200</xdr:rowOff>
    </xdr:from>
    <xdr:to>
      <xdr:col>9</xdr:col>
      <xdr:colOff>463422</xdr:colOff>
      <xdr:row>36</xdr:row>
      <xdr:rowOff>105513</xdr:rowOff>
    </xdr:to>
    <xdr:sp macro="" textlink="Satisfaction!F20">
      <xdr:nvSpPr>
        <xdr:cNvPr id="210" name="Rectangle: Rounded Corners 209">
          <a:extLst>
            <a:ext uri="{FF2B5EF4-FFF2-40B4-BE49-F238E27FC236}">
              <a16:creationId xmlns:a16="http://schemas.microsoft.com/office/drawing/2014/main" id="{A073E113-6015-470E-AAFF-712EBE4A2C19}"/>
            </a:ext>
          </a:extLst>
        </xdr:cNvPr>
        <xdr:cNvSpPr/>
      </xdr:nvSpPr>
      <xdr:spPr>
        <a:xfrm>
          <a:off x="5488642" y="6292262"/>
          <a:ext cx="461180" cy="354728"/>
        </a:xfrm>
        <a:prstGeom prst="round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4B1BC0E-A8EF-49AF-AE87-0BAB1DCB9C2E}" type="TxLink">
            <a:rPr lang="en-US" sz="1100" b="0" i="0" u="none" strike="noStrike">
              <a:solidFill>
                <a:schemeClr val="bg1"/>
              </a:solidFill>
              <a:latin typeface="Aptos Narrow"/>
              <a:ea typeface="+mn-ea"/>
              <a:cs typeface="+mn-cs"/>
            </a:rPr>
            <a:pPr marL="0" indent="0" algn="l"/>
            <a:t>116</a:t>
          </a:fld>
          <a:endParaRPr lang="en-GB" sz="1100" b="0" i="0" u="none" strike="noStrike">
            <a:solidFill>
              <a:schemeClr val="bg1"/>
            </a:solidFill>
            <a:latin typeface="Aptos Narrow"/>
            <a:ea typeface="+mn-ea"/>
            <a:cs typeface="+mn-cs"/>
          </a:endParaRPr>
        </a:p>
      </xdr:txBody>
    </xdr:sp>
    <xdr:clientData/>
  </xdr:twoCellAnchor>
  <xdr:twoCellAnchor>
    <xdr:from>
      <xdr:col>2</xdr:col>
      <xdr:colOff>55808</xdr:colOff>
      <xdr:row>0</xdr:row>
      <xdr:rowOff>121921</xdr:rowOff>
    </xdr:from>
    <xdr:to>
      <xdr:col>14</xdr:col>
      <xdr:colOff>594360</xdr:colOff>
      <xdr:row>2</xdr:row>
      <xdr:rowOff>49370</xdr:rowOff>
    </xdr:to>
    <xdr:sp macro="" textlink="">
      <xdr:nvSpPr>
        <xdr:cNvPr id="239" name="Rectangle 238">
          <a:extLst>
            <a:ext uri="{FF2B5EF4-FFF2-40B4-BE49-F238E27FC236}">
              <a16:creationId xmlns:a16="http://schemas.microsoft.com/office/drawing/2014/main" id="{43A650E9-DB84-4648-B528-172A8498E5DA}"/>
            </a:ext>
          </a:extLst>
        </xdr:cNvPr>
        <xdr:cNvSpPr/>
      </xdr:nvSpPr>
      <xdr:spPr>
        <a:xfrm>
          <a:off x="1275008" y="121921"/>
          <a:ext cx="7853752" cy="293209"/>
        </a:xfrm>
        <a:prstGeom prst="rect">
          <a:avLst/>
        </a:prstGeom>
        <a:solidFill>
          <a:srgbClr val="181C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u="sng"/>
            <a:t>HR</a:t>
          </a:r>
          <a:r>
            <a:rPr lang="en-GB" sz="1200" b="1" u="none"/>
            <a:t> </a:t>
          </a:r>
          <a:r>
            <a:rPr lang="en-GB" sz="1200"/>
            <a:t>ATTRITION</a:t>
          </a:r>
          <a:r>
            <a:rPr lang="en-GB" sz="1100"/>
            <a:t> </a:t>
          </a:r>
          <a:r>
            <a:rPr lang="en-GB" sz="1100">
              <a:solidFill>
                <a:schemeClr val="bg1">
                  <a:lumMod val="50000"/>
                </a:schemeClr>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45720</xdr:colOff>
      <xdr:row>6</xdr:row>
      <xdr:rowOff>60960</xdr:rowOff>
    </xdr:from>
    <xdr:to>
      <xdr:col>15</xdr:col>
      <xdr:colOff>350520</xdr:colOff>
      <xdr:row>21</xdr:row>
      <xdr:rowOff>60960</xdr:rowOff>
    </xdr:to>
    <xdr:graphicFrame macro="">
      <xdr:nvGraphicFramePr>
        <xdr:cNvPr id="3" name="Chart 2">
          <a:extLst>
            <a:ext uri="{FF2B5EF4-FFF2-40B4-BE49-F238E27FC236}">
              <a16:creationId xmlns:a16="http://schemas.microsoft.com/office/drawing/2014/main" id="{43D2EE68-25B6-FC18-EEA4-F30695E7F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20</xdr:row>
      <xdr:rowOff>60960</xdr:rowOff>
    </xdr:from>
    <xdr:to>
      <xdr:col>6</xdr:col>
      <xdr:colOff>22860</xdr:colOff>
      <xdr:row>35</xdr:row>
      <xdr:rowOff>60960</xdr:rowOff>
    </xdr:to>
    <xdr:graphicFrame macro="">
      <xdr:nvGraphicFramePr>
        <xdr:cNvPr id="2" name="Chart 1">
          <a:extLst>
            <a:ext uri="{FF2B5EF4-FFF2-40B4-BE49-F238E27FC236}">
              <a16:creationId xmlns:a16="http://schemas.microsoft.com/office/drawing/2014/main" id="{40E2A09B-7A66-D124-A793-84AAE49ED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487680</xdr:colOff>
      <xdr:row>0</xdr:row>
      <xdr:rowOff>68580</xdr:rowOff>
    </xdr:from>
    <xdr:to>
      <xdr:col>10</xdr:col>
      <xdr:colOff>182880</xdr:colOff>
      <xdr:row>15</xdr:row>
      <xdr:rowOff>68580</xdr:rowOff>
    </xdr:to>
    <xdr:graphicFrame macro="">
      <xdr:nvGraphicFramePr>
        <xdr:cNvPr id="3" name="Chart 2">
          <a:extLst>
            <a:ext uri="{FF2B5EF4-FFF2-40B4-BE49-F238E27FC236}">
              <a16:creationId xmlns:a16="http://schemas.microsoft.com/office/drawing/2014/main" id="{AFE9AE64-481B-0E62-9168-06031A62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213360</xdr:colOff>
      <xdr:row>19</xdr:row>
      <xdr:rowOff>144780</xdr:rowOff>
    </xdr:from>
    <xdr:to>
      <xdr:col>20</xdr:col>
      <xdr:colOff>15240</xdr:colOff>
      <xdr:row>32</xdr:row>
      <xdr:rowOff>83820</xdr:rowOff>
    </xdr:to>
    <xdr:graphicFrame macro="">
      <xdr:nvGraphicFramePr>
        <xdr:cNvPr id="4" name="Chart 3">
          <a:extLst>
            <a:ext uri="{FF2B5EF4-FFF2-40B4-BE49-F238E27FC236}">
              <a16:creationId xmlns:a16="http://schemas.microsoft.com/office/drawing/2014/main" id="{A3C5C5F6-20BB-8BBA-CD82-3BFBBBA5D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350520</xdr:colOff>
      <xdr:row>2</xdr:row>
      <xdr:rowOff>167640</xdr:rowOff>
    </xdr:from>
    <xdr:to>
      <xdr:col>19</xdr:col>
      <xdr:colOff>45720</xdr:colOff>
      <xdr:row>17</xdr:row>
      <xdr:rowOff>167640</xdr:rowOff>
    </xdr:to>
    <xdr:graphicFrame macro="">
      <xdr:nvGraphicFramePr>
        <xdr:cNvPr id="6" name="Chart 5">
          <a:extLst>
            <a:ext uri="{FF2B5EF4-FFF2-40B4-BE49-F238E27FC236}">
              <a16:creationId xmlns:a16="http://schemas.microsoft.com/office/drawing/2014/main" id="{AE0A2747-F500-82ED-EEA8-969ED0E9A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251460</xdr:colOff>
      <xdr:row>8</xdr:row>
      <xdr:rowOff>83820</xdr:rowOff>
    </xdr:from>
    <xdr:to>
      <xdr:col>13</xdr:col>
      <xdr:colOff>556260</xdr:colOff>
      <xdr:row>23</xdr:row>
      <xdr:rowOff>83820</xdr:rowOff>
    </xdr:to>
    <xdr:graphicFrame macro="">
      <xdr:nvGraphicFramePr>
        <xdr:cNvPr id="2" name="Chart 1">
          <a:extLst>
            <a:ext uri="{FF2B5EF4-FFF2-40B4-BE49-F238E27FC236}">
              <a16:creationId xmlns:a16="http://schemas.microsoft.com/office/drawing/2014/main" id="{C2268DDB-84FD-11FA-8B7F-61AEF288A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579120</xdr:colOff>
      <xdr:row>6</xdr:row>
      <xdr:rowOff>160020</xdr:rowOff>
    </xdr:from>
    <xdr:to>
      <xdr:col>14</xdr:col>
      <xdr:colOff>274320</xdr:colOff>
      <xdr:row>21</xdr:row>
      <xdr:rowOff>160020</xdr:rowOff>
    </xdr:to>
    <xdr:graphicFrame macro="">
      <xdr:nvGraphicFramePr>
        <xdr:cNvPr id="3" name="Chart 2">
          <a:extLst>
            <a:ext uri="{FF2B5EF4-FFF2-40B4-BE49-F238E27FC236}">
              <a16:creationId xmlns:a16="http://schemas.microsoft.com/office/drawing/2014/main" id="{1270E65B-7828-2017-66A7-32808610A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129540</xdr:colOff>
      <xdr:row>15</xdr:row>
      <xdr:rowOff>152401</xdr:rowOff>
    </xdr:from>
    <xdr:to>
      <xdr:col>5</xdr:col>
      <xdr:colOff>129540</xdr:colOff>
      <xdr:row>21</xdr:row>
      <xdr:rowOff>76201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11CA8A51-DF93-2148-B339-3F56562BB2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40280" y="2895601"/>
              <a:ext cx="1828800" cy="1021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251460</xdr:colOff>
      <xdr:row>8</xdr:row>
      <xdr:rowOff>83820</xdr:rowOff>
    </xdr:from>
    <xdr:to>
      <xdr:col>13</xdr:col>
      <xdr:colOff>556260</xdr:colOff>
      <xdr:row>23</xdr:row>
      <xdr:rowOff>83820</xdr:rowOff>
    </xdr:to>
    <xdr:graphicFrame macro="">
      <xdr:nvGraphicFramePr>
        <xdr:cNvPr id="2" name="Chart 1">
          <a:extLst>
            <a:ext uri="{FF2B5EF4-FFF2-40B4-BE49-F238E27FC236}">
              <a16:creationId xmlns:a16="http://schemas.microsoft.com/office/drawing/2014/main" id="{5C9789C7-F310-DFD7-92AD-3E77C0EFA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487680</xdr:colOff>
      <xdr:row>3</xdr:row>
      <xdr:rowOff>53340</xdr:rowOff>
    </xdr:from>
    <xdr:to>
      <xdr:col>14</xdr:col>
      <xdr:colOff>182880</xdr:colOff>
      <xdr:row>18</xdr:row>
      <xdr:rowOff>53340</xdr:rowOff>
    </xdr:to>
    <xdr:graphicFrame macro="">
      <xdr:nvGraphicFramePr>
        <xdr:cNvPr id="4" name="Chart 3">
          <a:extLst>
            <a:ext uri="{FF2B5EF4-FFF2-40B4-BE49-F238E27FC236}">
              <a16:creationId xmlns:a16="http://schemas.microsoft.com/office/drawing/2014/main" id="{05F84277-06C3-F594-F03A-7C53820B5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304800</xdr:colOff>
      <xdr:row>12</xdr:row>
      <xdr:rowOff>152400</xdr:rowOff>
    </xdr:from>
    <xdr:to>
      <xdr:col>17</xdr:col>
      <xdr:colOff>304800</xdr:colOff>
      <xdr:row>26</xdr:row>
      <xdr:rowOff>173355</xdr:rowOff>
    </xdr:to>
    <mc:AlternateContent xmlns:mc="http://schemas.openxmlformats.org/markup-compatibility/2006" xmlns:a14="http://schemas.microsoft.com/office/drawing/2010/main">
      <mc:Choice Requires="a14">
        <xdr:graphicFrame macro="">
          <xdr:nvGraphicFramePr>
            <xdr:cNvPr id="6" name="Job Role">
              <a:extLst>
                <a:ext uri="{FF2B5EF4-FFF2-40B4-BE49-F238E27FC236}">
                  <a16:creationId xmlns:a16="http://schemas.microsoft.com/office/drawing/2014/main" id="{D5ED2A40-FA2E-54C4-1679-5E473ADA86A4}"/>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9730740" y="234696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106680</xdr:colOff>
      <xdr:row>23</xdr:row>
      <xdr:rowOff>22860</xdr:rowOff>
    </xdr:from>
    <xdr:to>
      <xdr:col>14</xdr:col>
      <xdr:colOff>411480</xdr:colOff>
      <xdr:row>38</xdr:row>
      <xdr:rowOff>22860</xdr:rowOff>
    </xdr:to>
    <xdr:graphicFrame macro="">
      <xdr:nvGraphicFramePr>
        <xdr:cNvPr id="2" name="Chart 1">
          <a:extLst>
            <a:ext uri="{FF2B5EF4-FFF2-40B4-BE49-F238E27FC236}">
              <a16:creationId xmlns:a16="http://schemas.microsoft.com/office/drawing/2014/main" id="{DB17664E-803F-C611-E101-20449847A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281940</xdr:colOff>
      <xdr:row>7</xdr:row>
      <xdr:rowOff>99060</xdr:rowOff>
    </xdr:from>
    <xdr:to>
      <xdr:col>14</xdr:col>
      <xdr:colOff>586740</xdr:colOff>
      <xdr:row>22</xdr:row>
      <xdr:rowOff>99060</xdr:rowOff>
    </xdr:to>
    <xdr:graphicFrame macro="">
      <xdr:nvGraphicFramePr>
        <xdr:cNvPr id="2" name="Chart 1">
          <a:extLst>
            <a:ext uri="{FF2B5EF4-FFF2-40B4-BE49-F238E27FC236}">
              <a16:creationId xmlns:a16="http://schemas.microsoft.com/office/drawing/2014/main" id="{2B474B03-A0D3-D240-14DF-6B2F7D2ED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74768521" backgroundQuery="1" createdVersion="8" refreshedVersion="8" minRefreshableVersion="3" recordCount="0" supportSubquery="1" supportAdvancedDrill="1" xr:uid="{121A4871-7B32-48C4-86F7-812CB751A262}">
  <cacheSource type="external" connectionId="2"/>
  <cacheFields count="3">
    <cacheField name="[Measures].[Count of EmployeeID]" caption="Count of EmployeeID" numFmtId="0" hierarchy="17" level="32767"/>
    <cacheField name="[Data].[Job Role].[Job Role]" caption="Job Role" numFmtId="0" hierarchy="5" level="1">
      <sharedItems count="6">
        <s v="Accountant"/>
        <s v="Analyst"/>
        <s v="Engineer"/>
        <s v="Manager"/>
        <s v="Sales Rep"/>
        <s v="Specialist"/>
      </sharedItems>
    </cacheField>
    <cacheField name="[Data].[Attrition].[Attrition]" caption="Attrition" numFmtId="0" hierarchy="13"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2" memberValueDatatype="130" unbalanced="0"/>
    <cacheHierarchy uniqueName="[Data].[Age]" caption="Age" attribute="1" defaultMemberUniqueName="[Data].[Age].[All]" allUniqueName="[Data].[Age].[All]" dimensionUniqueName="[Data]" displayFolder="" count="2" memberValueDatatype="20" unbalanced="0"/>
    <cacheHierarchy uniqueName="[Data].[Age Range]" caption="Age Range" attribute="1" defaultMemberUniqueName="[Data].[Age Range].[All]" allUniqueName="[Data].[Age Range].[All]" dimensionUniqueName="[Data]" displayFolder="" count="2"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1"/>
      </fieldsUsage>
    </cacheHierarchy>
    <cacheHierarchy uniqueName="[Data].[Years of Service]" caption="Years of Service" attribute="1" defaultMemberUniqueName="[Data].[Years of Service].[All]" allUniqueName="[Data].[Years of Service].[All]" dimensionUniqueName="[Data]" displayFolder="" count="2" memberValueDatatype="20" unbalanced="0"/>
    <cacheHierarchy uniqueName="[Data].[Performance Rating]" caption="Performance Rating" attribute="1" defaultMemberUniqueName="[Data].[Performance Rating].[All]" allUniqueName="[Data].[Performance Rating].[All]" dimensionUniqueName="[Data]" displayFolder="" count="2" memberValueDatatype="20" unbalanced="0"/>
    <cacheHierarchy uniqueName="[Data].[Performance Range]" caption="Performance Range" attribute="1" defaultMemberUniqueName="[Data].[Performance Range].[All]" allUniqueName="[Data].[Performance Range].[All]" dimensionUniqueName="[Data]" displayFolder="" count="2" memberValueDatatype="130" unbalanced="0"/>
    <cacheHierarchy uniqueName="[Data].[Satisfaction Score]" caption="Satisfaction Score" attribute="1" defaultMemberUniqueName="[Data].[Satisfaction Score].[All]" allUniqueName="[Data].[Satisfaction Score].[All]" dimensionUniqueName="[Data]" displayFolder="" count="2" memberValueDatatype="5" unbalanced="0"/>
    <cacheHierarchy uniqueName="[Data].[Satisfaction Range]" caption="Satisfaction Range" attribute="1" defaultMemberUniqueName="[Data].[Satisfaction Range].[All]" allUniqueName="[Data].[Satisfaction Range].[All]" dimensionUniqueName="[Data]" displayFolder="" count="2" memberValueDatatype="130" unbalanced="0"/>
    <cacheHierarchy uniqueName="[Data].[Salary]" caption="Salary" attribute="1" defaultMemberUniqueName="[Data].[Salary].[All]" allUniqueName="[Data].[Salary].[All]" dimensionUniqueName="[Data]" displayFolder="" count="2" memberValueDatatype="20" unbalanced="0"/>
    <cacheHierarchy uniqueName="[Data].[Salary Range]" caption="Salary Range" attribute="1" defaultMemberUniqueName="[Data].[Salary Range].[All]" allUniqueName="[Data].[Salary Range].[All]" dimensionUniqueName="[Data]" displayFolder="" count="2"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77662038" backgroundQuery="1" createdVersion="8" refreshedVersion="8" minRefreshableVersion="3" recordCount="0" supportSubquery="1" supportAdvancedDrill="1" xr:uid="{E611AEEB-1A25-4F63-A611-A2E4647D7746}">
  <cacheSource type="external" connectionId="2"/>
  <cacheFields count="4">
    <cacheField name="[Measures].[Count of EmployeeID]" caption="Count of EmployeeID" numFmtId="0" hierarchy="17" level="32767"/>
    <cacheField name="[Data].[Attrition].[Attrition]" caption="Attrition" numFmtId="0" hierarchy="13" level="1">
      <sharedItems count="2">
        <s v="No"/>
        <s v="Yes"/>
      </sharedItems>
    </cacheField>
    <cacheField name="[Data].[Job Role].[Job Role]" caption="Job Role" numFmtId="0" hierarchy="5"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1"/>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8078704" backgroundQuery="1" createdVersion="8" refreshedVersion="8" minRefreshableVersion="3" recordCount="0" supportSubquery="1" supportAdvancedDrill="1" xr:uid="{7C6D5333-1AB4-42A0-A99B-E468DB6870BC}">
  <cacheSource type="external" connectionId="2"/>
  <cacheFields count="3">
    <cacheField name="[Measures].[Count of EmployeeID]" caption="Count of EmployeeID" numFmtId="0" hierarchy="17" level="32767"/>
    <cacheField name="[Data].[Department].[Department]" caption="Department" numFmtId="0" hierarchy="4" level="1">
      <sharedItems count="6">
        <s v="EN"/>
        <s v="FN"/>
        <s v="HR"/>
        <s v="IT"/>
        <s v="MK"/>
        <s v="SL"/>
      </sharedItems>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83680557" backgroundQuery="1" createdVersion="8" refreshedVersion="8" minRefreshableVersion="3" recordCount="0" supportSubquery="1" supportAdvancedDrill="1" xr:uid="{C2B7FB4E-2A3B-4695-AECB-88281BDC144C}">
  <cacheSource type="external" connectionId="2"/>
  <cacheFields count="4">
    <cacheField name="[Measures].[Count of EmployeeID]" caption="Count of EmployeeID" numFmtId="0" hierarchy="17" level="32767"/>
    <cacheField name="[Data].[Department].[Department]" caption="Department" numFmtId="0" hierarchy="4" level="1">
      <sharedItems count="6">
        <s v="EN"/>
        <s v="FN"/>
        <s v="HR"/>
        <s v="IT"/>
        <s v="MK"/>
        <s v="SL"/>
      </sharedItems>
    </cacheField>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Job Role]" caption="Job Role" attribute="1" defaultMemberUniqueName="[Data].[Job Role].[All]" allUniqueName="[Data].[Job Role].[All]" dimensionUniqueName="[Data]" displayFolder="" count="2" memberValueDatatype="130" unbalanced="0">
      <fieldsUsage count="2">
        <fieldUsage x="-1"/>
        <fieldUsage x="3"/>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86574075" backgroundQuery="1" createdVersion="8" refreshedVersion="8" minRefreshableVersion="3" recordCount="0" supportSubquery="1" supportAdvancedDrill="1" xr:uid="{4843A6E7-5C66-42F1-A68C-FBBE945E5A68}">
  <cacheSource type="external" connectionId="2"/>
  <cacheFields count="3">
    <cacheField name="[Measures].[Count of EmployeeID]" caption="Count of EmployeeID" numFmtId="0" hierarchy="17" level="32767"/>
    <cacheField name="[Data].[Gender].[Gender]" caption="Gender" numFmtId="0" hierarchy="3" level="1">
      <sharedItems count="2">
        <s v="Female"/>
        <s v="Male"/>
      </sharedItems>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fieldsUsage count="2">
        <fieldUsage x="-1"/>
        <fieldUsage x="1"/>
      </fieldsUsage>
    </cacheHierarchy>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89120369" backgroundQuery="1" createdVersion="8" refreshedVersion="8" minRefreshableVersion="3" recordCount="0" supportSubquery="1" supportAdvancedDrill="1" xr:uid="{D814F530-DADF-49E7-A739-8D851FEA104E}">
  <cacheSource type="external" connectionId="2"/>
  <cacheFields count="4">
    <cacheField name="[Measures].[Count of EmployeeID]" caption="Count of EmployeeID" numFmtId="0" hierarchy="17" level="32767"/>
    <cacheField name="[Data].[Gender].[Gender]" caption="Gender" numFmtId="0" hierarchy="3" level="1">
      <sharedItems count="2">
        <s v="Female"/>
        <s v="Male"/>
      </sharedItems>
    </cacheField>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2" memberValueDatatype="130" unbalanced="0"/>
    <cacheHierarchy uniqueName="[Data].[Age]" caption="Age" attribute="1" defaultMemberUniqueName="[Data].[Age].[All]" allUniqueName="[Data].[Age].[All]" dimensionUniqueName="[Data]" displayFolder="" count="2" memberValueDatatype="20" unbalanced="0"/>
    <cacheHierarchy uniqueName="[Data].[Age Range]" caption="Age Range" attribute="1" defaultMemberUniqueName="[Data].[Age Range].[All]" allUniqueName="[Data].[Age Range].[All]" dimensionUniqueName="[Data]" displayFolder="" count="2" memberValueDatatype="130" unbalanced="0"/>
    <cacheHierarchy uniqueName="[Data].[Gender]" caption="Gender" attribute="1" defaultMemberUniqueName="[Data].[Gender].[All]" allUniqueName="[Data].[Gender].[All]" dimensionUniqueName="[Data]" displayFolder="" count="2" memberValueDatatype="130" unbalanced="0">
      <fieldsUsage count="2">
        <fieldUsage x="-1"/>
        <fieldUsage x="1"/>
      </fieldsUsage>
    </cacheHierarchy>
    <cacheHierarchy uniqueName="[Data].[Department]" caption="Department" attribute="1" defaultMemberUniqueName="[Data].[Department].[All]" allUniqueName="[Data].[Department].[All]" dimensionUniqueName="[Data]" displayFolder="" count="2"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3"/>
      </fieldsUsage>
    </cacheHierarchy>
    <cacheHierarchy uniqueName="[Data].[Years of Service]" caption="Years of Service" attribute="1" defaultMemberUniqueName="[Data].[Years of Service].[All]" allUniqueName="[Data].[Years of Service].[All]" dimensionUniqueName="[Data]" displayFolder="" count="2" memberValueDatatype="20" unbalanced="0"/>
    <cacheHierarchy uniqueName="[Data].[Performance Rating]" caption="Performance Rating" attribute="1" defaultMemberUniqueName="[Data].[Performance Rating].[All]" allUniqueName="[Data].[Performance Rating].[All]" dimensionUniqueName="[Data]" displayFolder="" count="2" memberValueDatatype="20" unbalanced="0"/>
    <cacheHierarchy uniqueName="[Data].[Performance Range]" caption="Performance Range" attribute="1" defaultMemberUniqueName="[Data].[Performance Range].[All]" allUniqueName="[Data].[Performance Range].[All]" dimensionUniqueName="[Data]" displayFolder="" count="2" memberValueDatatype="130" unbalanced="0"/>
    <cacheHierarchy uniqueName="[Data].[Satisfaction Score]" caption="Satisfaction Score" attribute="1" defaultMemberUniqueName="[Data].[Satisfaction Score].[All]" allUniqueName="[Data].[Satisfaction Score].[All]" dimensionUniqueName="[Data]" displayFolder="" count="2" memberValueDatatype="5" unbalanced="0"/>
    <cacheHierarchy uniqueName="[Data].[Satisfaction Range]" caption="Satisfaction Range" attribute="1" defaultMemberUniqueName="[Data].[Satisfaction Range].[All]" allUniqueName="[Data].[Satisfaction Range].[All]" dimensionUniqueName="[Data]" displayFolder="" count="2" memberValueDatatype="130" unbalanced="0"/>
    <cacheHierarchy uniqueName="[Data].[Salary]" caption="Salary" attribute="1" defaultMemberUniqueName="[Data].[Salary].[All]" allUniqueName="[Data].[Salary].[All]" dimensionUniqueName="[Data]" displayFolder="" count="2" memberValueDatatype="20" unbalanced="0"/>
    <cacheHierarchy uniqueName="[Data].[Salary Range]" caption="Salary Range" attribute="1" defaultMemberUniqueName="[Data].[Salary Range].[All]" allUniqueName="[Data].[Salary Range].[All]" dimensionUniqueName="[Data]" displayFolder="" count="2"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91666663" backgroundQuery="1" createdVersion="8" refreshedVersion="8" minRefreshableVersion="3" recordCount="0" supportSubquery="1" supportAdvancedDrill="1" xr:uid="{A63E679C-AD6C-4355-A7D2-9C11C690E90B}">
  <cacheSource type="external" connectionId="2"/>
  <cacheFields count="2">
    <cacheField name="[Measures].[Count of EmployeeID]" caption="Count of EmployeeID" numFmtId="0" hierarchy="17" level="32767"/>
    <cacheField name="[Data].[Job Role].[Job Role]" caption="Job Role" numFmtId="0" hierarchy="5" level="1">
      <sharedItems count="6">
        <s v="Accountant"/>
        <s v="Analyst"/>
        <s v="Engineer"/>
        <s v="Manager"/>
        <s v="Sales Rep"/>
        <s v="Specialist"/>
      </sharedItems>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1"/>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94560188" backgroundQuery="1" createdVersion="8" refreshedVersion="8" minRefreshableVersion="3" recordCount="0" supportSubquery="1" supportAdvancedDrill="1" xr:uid="{2ACC3F40-5E5C-40B7-A743-0E66F9DD37BA}">
  <cacheSource type="external" connectionId="2"/>
  <cacheFields count="7">
    <cacheField name="[Measures].[Count of EmployeeID]" caption="Count of EmployeeID" numFmtId="0" hierarchy="17" level="32767"/>
    <cacheField name="[Measures].[Average of Age]" caption="Average of Age" numFmtId="0" hierarchy="19" level="32767"/>
    <cacheField name="[Measures].[Average of Years of Service]" caption="Average of Years of Service" numFmtId="0" hierarchy="21" level="32767"/>
    <cacheField name="[Measures].[Average of Performance Rating]" caption="Average of Performance Rating" numFmtId="0" hierarchy="23" level="32767"/>
    <cacheField name="[Measures].[Average of Satisfaction Score]" caption="Average of Satisfaction Score" numFmtId="0" hierarchy="25" level="32767"/>
    <cacheField name="[Measures].[Average of Salary]" caption="Average of Salary" numFmtId="0" hierarchy="27" level="32767"/>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6"/>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oneField="1" hidden="1">
      <fieldsUsage count="1">
        <fieldUsage x="5"/>
      </fieldsUsage>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95370373" backgroundQuery="1" createdVersion="8" refreshedVersion="8" minRefreshableVersion="3" recordCount="0" supportSubquery="1" supportAdvancedDrill="1" xr:uid="{B5DA5F73-78DA-4CD4-9FE4-CF5D959FEB0F}">
  <cacheSource type="external" connectionId="2"/>
  <cacheFields count="3">
    <cacheField name="[Measures].[Count of EmployeeID]" caption="Count of EmployeeID" numFmtId="0" hierarchy="17" level="32767"/>
    <cacheField name="[Data].[Performance Rating].[Performance Rating]" caption="Performance Rating" numFmtId="0" hierarchy="7" level="1">
      <sharedItems containsSemiMixedTypes="0" containsString="0" containsNumber="1" containsInteger="1" minValue="5" maxValue="9" count="5">
        <n v="5"/>
        <n v="6"/>
        <n v="7"/>
        <n v="8"/>
        <n v="9"/>
      </sharedItems>
      <extLst>
        <ext xmlns:x15="http://schemas.microsoft.com/office/spreadsheetml/2010/11/main" uri="{4F2E5C28-24EA-4eb8-9CBF-B6C8F9C3D259}">
          <x15:cachedUniqueNames>
            <x15:cachedUniqueName index="0" name="[Data].[Performance Rating].&amp;[5]"/>
            <x15:cachedUniqueName index="1" name="[Data].[Performance Rating].&amp;[6]"/>
            <x15:cachedUniqueName index="2" name="[Data].[Performance Rating].&amp;[7]"/>
            <x15:cachedUniqueName index="3" name="[Data].[Performance Rating].&amp;[8]"/>
            <x15:cachedUniqueName index="4" name="[Data].[Performance Rating].&amp;[9]"/>
          </x15:cachedUniqueNames>
        </ext>
      </extLst>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2" memberValueDatatype="20" unbalanced="0">
      <fieldsUsage count="2">
        <fieldUsage x="-1"/>
        <fieldUsage x="1"/>
      </fieldsUsage>
    </cacheHierarchy>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497916667" backgroundQuery="1" createdVersion="8" refreshedVersion="8" minRefreshableVersion="3" recordCount="0" supportSubquery="1" supportAdvancedDrill="1" xr:uid="{09EF6C79-D2E6-4CCA-9D52-6526C85591C5}">
  <cacheSource type="external" connectionId="2"/>
  <cacheFields count="4">
    <cacheField name="[Measures].[Count of EmployeeID]" caption="Count of EmployeeID" numFmtId="0" hierarchy="17" level="32767"/>
    <cacheField name="[Data].[Performance Range].[Performance Range]" caption="Performance Range" numFmtId="0" hierarchy="8" level="1">
      <sharedItems count="5">
        <s v="Above Average"/>
        <s v="Average"/>
        <s v="Below Average"/>
        <s v="Good"/>
        <s v="Poor"/>
      </sharedItems>
    </cacheField>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3"/>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2" memberValueDatatype="130" unbalanced="0">
      <fieldsUsage count="2">
        <fieldUsage x="-1"/>
        <fieldUsage x="1"/>
      </fieldsUsage>
    </cacheHierarchy>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00694446" backgroundQuery="1" createdVersion="8" refreshedVersion="8" minRefreshableVersion="3" recordCount="0" supportSubquery="1" supportAdvancedDrill="1" xr:uid="{4EBAE454-159F-4A34-B5CF-07122B4D7822}">
  <cacheSource type="external" connectionId="2"/>
  <cacheFields count="3">
    <cacheField name="[Measures].[Count of EmployeeID]" caption="Count of EmployeeID" numFmtId="0" hierarchy="17" level="32767"/>
    <cacheField name="[Data].[Salary Range].[Salary Range]" caption="Salary Range" numFmtId="0" hierarchy="12" level="1">
      <sharedItems count="4">
        <s v="Average"/>
        <s v="Low"/>
        <s v="Very High"/>
        <s v="Very Low"/>
      </sharedItems>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2" memberValueDatatype="130" unbalanced="0">
      <fieldsUsage count="2">
        <fieldUsage x="-1"/>
        <fieldUsage x="1"/>
      </fieldsUsage>
    </cacheHierarchy>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0324074" backgroundQuery="1" createdVersion="8" refreshedVersion="8" minRefreshableVersion="3" recordCount="0" supportSubquery="1" supportAdvancedDrill="1" xr:uid="{E6EF5AFB-E427-46C6-98B8-EE7D565DBFA4}">
  <cacheSource type="external" connectionId="2"/>
  <cacheFields count="4">
    <cacheField name="[Measures].[Count of EmployeeID]" caption="Count of EmployeeID" numFmtId="0" hierarchy="17" level="32767"/>
    <cacheField name="[Data].[Salary Range].[Salary Range]" caption="Salary Range" numFmtId="0" hierarchy="12" level="1">
      <sharedItems count="4">
        <s v="Average"/>
        <s v="Low"/>
        <s v="Very High"/>
        <s v="Very Low"/>
      </sharedItems>
    </cacheField>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3"/>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2" memberValueDatatype="130" unbalanced="0">
      <fieldsUsage count="2">
        <fieldUsage x="-1"/>
        <fieldUsage x="1"/>
      </fieldsUsage>
    </cacheHierarchy>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05787034" backgroundQuery="1" createdVersion="8" refreshedVersion="8" minRefreshableVersion="3" recordCount="0" supportSubquery="1" supportAdvancedDrill="1" xr:uid="{D2BD71ED-4777-41E6-B848-C5A7F45355A9}">
  <cacheSource type="external" connectionId="2"/>
  <cacheFields count="3">
    <cacheField name="[Measures].[Count of EmployeeID]" caption="Count of EmployeeID" numFmtId="0" hierarchy="17" level="32767"/>
    <cacheField name="[Data].[Satisfaction Range].[Satisfaction Range]" caption="Satisfaction Range" numFmtId="0" hierarchy="10" level="1">
      <sharedItems count="5">
        <s v="Average"/>
        <s v="Dissatisfied"/>
        <s v="Highly Dissatisfied"/>
        <s v="Highly Satisfied"/>
        <s v="Satisfied"/>
      </sharedItems>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2" memberValueDatatype="130" unbalanced="0">
      <fieldsUsage count="2">
        <fieldUsage x="-1"/>
        <fieldUsage x="1"/>
      </fieldsUsage>
    </cacheHierarchy>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08564813" backgroundQuery="1" createdVersion="8" refreshedVersion="8" minRefreshableVersion="3" recordCount="0" supportSubquery="1" supportAdvancedDrill="1" xr:uid="{5884511F-0721-48B9-8561-7B51B4B4AC62}">
  <cacheSource type="external" connectionId="2"/>
  <cacheFields count="4">
    <cacheField name="[Measures].[Count of EmployeeID]" caption="Count of EmployeeID" numFmtId="0" hierarchy="17" level="32767"/>
    <cacheField name="[Data].[Satisfaction Range].[Satisfaction Range]" caption="Satisfaction Range" numFmtId="0" hierarchy="10" level="1">
      <sharedItems count="5">
        <s v="Average"/>
        <s v="Dissatisfied"/>
        <s v="Highly Dissatisfied"/>
        <s v="Highly Satisfied"/>
        <s v="Satisfied"/>
      </sharedItems>
    </cacheField>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3"/>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2" memberValueDatatype="130" unbalanced="0">
      <fieldsUsage count="2">
        <fieldUsage x="-1"/>
        <fieldUsage x="1"/>
      </fieldsUsage>
    </cacheHierarchy>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11226853" backgroundQuery="1" createdVersion="8" refreshedVersion="8" minRefreshableVersion="3" recordCount="0" supportSubquery="1" supportAdvancedDrill="1" xr:uid="{07D4188D-CEAF-448C-A140-2204FE687F92}">
  <cacheSource type="external" connectionId="2"/>
  <cacheFields count="3">
    <cacheField name="[Measures].[Count of EmployeeID]" caption="Count of EmployeeID" numFmtId="0" hierarchy="17" level="32767"/>
    <cacheField name="[Data].[Age Range].[Age Range]" caption="Age Range" numFmtId="0" hierarchy="2" level="1">
      <sharedItems count="5">
        <s v="26-30 years"/>
        <s v="31-35 years"/>
        <s v="36-40 years"/>
        <s v="41-45 years"/>
        <s v="46-50 years"/>
      </sharedItems>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2" memberValueDatatype="130" unbalanced="0">
      <fieldsUsage count="2">
        <fieldUsage x="-1"/>
        <fieldUsage x="1"/>
      </fieldsUsage>
    </cacheHierarchy>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13657408" backgroundQuery="1" createdVersion="8" refreshedVersion="8" minRefreshableVersion="3" recordCount="0" supportSubquery="1" supportAdvancedDrill="1" xr:uid="{5F7CC229-8E83-412F-A907-4868934F1F3C}">
  <cacheSource type="external" connectionId="2"/>
  <cacheFields count="4">
    <cacheField name="[Measures].[Count of EmployeeID]" caption="Count of EmployeeID" numFmtId="0" hierarchy="17" level="32767"/>
    <cacheField name="[Data].[Age Range].[Age Range]" caption="Age Range" numFmtId="0" hierarchy="2" level="1">
      <sharedItems count="5">
        <s v="26-30 years"/>
        <s v="31-35 years"/>
        <s v="36-40 years"/>
        <s v="41-45 years"/>
        <s v="46-50 years"/>
      </sharedItems>
    </cacheField>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2" memberValueDatatype="130" unbalanced="0">
      <fieldsUsage count="2">
        <fieldUsage x="-1"/>
        <fieldUsage x="1"/>
      </fieldsUsage>
    </cacheHierarchy>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3"/>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2"/>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16435187" backgroundQuery="1" createdVersion="8" refreshedVersion="8" minRefreshableVersion="3" recordCount="0" supportSubquery="1" supportAdvancedDrill="1" xr:uid="{60626731-4B73-4F9A-A30C-D816F7352D3B}">
  <cacheSource type="external" connectionId="2"/>
  <cacheFields count="3">
    <cacheField name="[Measures].[Count of EmployeeID]" caption="Count of EmployeeID" numFmtId="0" hierarchy="17" level="32767"/>
    <cacheField name="[Data].[Years of Service].[Years of Service]" caption="Years of Service" numFmtId="0" hierarchy="6" level="1">
      <sharedItems containsSemiMixedTypes="0" containsString="0" containsNumber="1" containsInteger="1" minValue="2" maxValue="16" count="15">
        <n v="2"/>
        <n v="3"/>
        <n v="4"/>
        <n v="5"/>
        <n v="6"/>
        <n v="7"/>
        <n v="8"/>
        <n v="9"/>
        <n v="10"/>
        <n v="11"/>
        <n v="12"/>
        <n v="13"/>
        <n v="14"/>
        <n v="15"/>
        <n v="16"/>
      </sharedItems>
      <extLst>
        <ext xmlns:x15="http://schemas.microsoft.com/office/spreadsheetml/2010/11/main" uri="{4F2E5C28-24EA-4eb8-9CBF-B6C8F9C3D259}">
          <x15:cachedUniqueNames>
            <x15:cachedUniqueName index="0" name="[Data].[Years of Service].&amp;[2]"/>
            <x15:cachedUniqueName index="1" name="[Data].[Years of Service].&amp;[3]"/>
            <x15:cachedUniqueName index="2" name="[Data].[Years of Service].&amp;[4]"/>
            <x15:cachedUniqueName index="3" name="[Data].[Years of Service].&amp;[5]"/>
            <x15:cachedUniqueName index="4" name="[Data].[Years of Service].&amp;[6]"/>
            <x15:cachedUniqueName index="5" name="[Data].[Years of Service].&amp;[7]"/>
            <x15:cachedUniqueName index="6" name="[Data].[Years of Service].&amp;[8]"/>
            <x15:cachedUniqueName index="7" name="[Data].[Years of Service].&amp;[9]"/>
            <x15:cachedUniqueName index="8" name="[Data].[Years of Service].&amp;[10]"/>
            <x15:cachedUniqueName index="9" name="[Data].[Years of Service].&amp;[11]"/>
            <x15:cachedUniqueName index="10" name="[Data].[Years of Service].&amp;[12]"/>
            <x15:cachedUniqueName index="11" name="[Data].[Years of Service].&amp;[13]"/>
            <x15:cachedUniqueName index="12" name="[Data].[Years of Service].&amp;[14]"/>
            <x15:cachedUniqueName index="13" name="[Data].[Years of Service].&amp;[15]"/>
            <x15:cachedUniqueName index="14" name="[Data].[Years of Service].&amp;[16]"/>
          </x15:cachedUniqueNames>
        </ext>
      </extLst>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2" memberValueDatatype="20" unbalanced="0">
      <fieldsUsage count="2">
        <fieldUsage x="-1"/>
        <fieldUsage x="1"/>
      </fieldsUsage>
    </cacheHierarchy>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19212966" backgroundQuery="1" createdVersion="8" refreshedVersion="8" minRefreshableVersion="3" recordCount="0" supportSubquery="1" supportAdvancedDrill="1" xr:uid="{A53D4A2E-752C-4E62-A81E-E857A387DCAB}">
  <cacheSource type="external" connectionId="2"/>
  <cacheFields count="3">
    <cacheField name="[Measures].[Count of EmployeeID]" caption="Count of EmployeeID" numFmtId="0" hierarchy="17" level="32767"/>
    <cacheField name="[Data].[Years of Service].[Years of Service]" caption="Years of Service" numFmtId="0" hierarchy="6" level="1">
      <sharedItems containsSemiMixedTypes="0" containsString="0" containsNumber="1" containsInteger="1" minValue="2" maxValue="16" count="15">
        <n v="2"/>
        <n v="3"/>
        <n v="4"/>
        <n v="5"/>
        <n v="6"/>
        <n v="7"/>
        <n v="8"/>
        <n v="9"/>
        <n v="10"/>
        <n v="11"/>
        <n v="12"/>
        <n v="13"/>
        <n v="14"/>
        <n v="15"/>
        <n v="16"/>
      </sharedItems>
      <extLst>
        <ext xmlns:x15="http://schemas.microsoft.com/office/spreadsheetml/2010/11/main" uri="{4F2E5C28-24EA-4eb8-9CBF-B6C8F9C3D259}">
          <x15:cachedUniqueNames>
            <x15:cachedUniqueName index="0" name="[Data].[Years of Service].&amp;[2]"/>
            <x15:cachedUniqueName index="1" name="[Data].[Years of Service].&amp;[3]"/>
            <x15:cachedUniqueName index="2" name="[Data].[Years of Service].&amp;[4]"/>
            <x15:cachedUniqueName index="3" name="[Data].[Years of Service].&amp;[5]"/>
            <x15:cachedUniqueName index="4" name="[Data].[Years of Service].&amp;[6]"/>
            <x15:cachedUniqueName index="5" name="[Data].[Years of Service].&amp;[7]"/>
            <x15:cachedUniqueName index="6" name="[Data].[Years of Service].&amp;[8]"/>
            <x15:cachedUniqueName index="7" name="[Data].[Years of Service].&amp;[9]"/>
            <x15:cachedUniqueName index="8" name="[Data].[Years of Service].&amp;[10]"/>
            <x15:cachedUniqueName index="9" name="[Data].[Years of Service].&amp;[11]"/>
            <x15:cachedUniqueName index="10" name="[Data].[Years of Service].&amp;[12]"/>
            <x15:cachedUniqueName index="11" name="[Data].[Years of Service].&amp;[13]"/>
            <x15:cachedUniqueName index="12" name="[Data].[Years of Service].&amp;[14]"/>
            <x15:cachedUniqueName index="13" name="[Data].[Years of Service].&amp;[15]"/>
            <x15:cachedUniqueName index="14" name="[Data].[Years of Service].&amp;[16]"/>
          </x15:cachedUniqueNames>
        </ext>
      </extLst>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2"/>
      </fieldsUsage>
    </cacheHierarchy>
    <cacheHierarchy uniqueName="[Data].[Years of Service]" caption="Years of Service" attribute="1" defaultMemberUniqueName="[Data].[Years of Service].[All]" allUniqueName="[Data].[Years of Service].[All]" dimensionUniqueName="[Data]" displayFolder="" count="2" memberValueDatatype="20" unbalanced="0">
      <fieldsUsage count="2">
        <fieldUsage x="-1"/>
        <fieldUsage x="1"/>
      </fieldsUsage>
    </cacheHierarchy>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153.683521064813" backgroundQuery="1" createdVersion="8" refreshedVersion="8" minRefreshableVersion="3" recordCount="0" supportSubquery="1" supportAdvancedDrill="1" xr:uid="{8125F294-28F2-486A-AAFA-679572A5EBFE}">
  <cacheSource type="external" connectionId="2"/>
  <cacheFields count="8">
    <cacheField name="[Measures].[Count of EmployeeID]" caption="Count of EmployeeID" numFmtId="0" hierarchy="17" level="32767"/>
    <cacheField name="[Measures].[Average of Age]" caption="Average of Age" numFmtId="0" hierarchy="19" level="32767"/>
    <cacheField name="[Measures].[Average of Years of Service]" caption="Average of Years of Service" numFmtId="0" hierarchy="21" level="32767"/>
    <cacheField name="[Measures].[Average of Performance Rating]" caption="Average of Performance Rating" numFmtId="0" hierarchy="23" level="32767"/>
    <cacheField name="[Measures].[Average of Satisfaction Score]" caption="Average of Satisfaction Score" numFmtId="0" hierarchy="25" level="32767"/>
    <cacheField name="[Measures].[Average of Salary]" caption="Average of Salary" numFmtId="0" hierarchy="27" level="32767"/>
    <cacheField name="[Data].[Attrition].[Attrition]" caption="Attrition" numFmtId="0" hierarchy="13" level="1">
      <sharedItems containsSemiMixedTypes="0" containsNonDate="0" containsString="0"/>
    </cacheField>
    <cacheField name="[Data].[Job Role].[Job Role]" caption="Job Role" numFmtId="0" hierarchy="5" level="1">
      <sharedItems containsSemiMixedTypes="0" containsNonDate="0" containsString="0"/>
    </cacheField>
  </cacheFields>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fieldsUsage count="2">
        <fieldUsage x="-1"/>
        <fieldUsage x="7"/>
      </fieldsUsage>
    </cacheHierarchy>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2" memberValueDatatype="130" unbalanced="0">
      <fieldsUsage count="2">
        <fieldUsage x="-1"/>
        <fieldUsage x="6"/>
      </fieldsUsage>
    </cacheHierarchy>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oneField="1" hidden="1">
      <fieldsUsage count="1">
        <fieldUsage x="5"/>
      </fieldsUsage>
      <extLst>
        <ext xmlns:x15="http://schemas.microsoft.com/office/spreadsheetml/2010/11/main" uri="{B97F6D7D-B522-45F9-BDA1-12C45D357490}">
          <x15:cacheHierarchy aggregatedColumn="1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098.961484490741" backgroundQuery="1" createdVersion="3" refreshedVersion="8" minRefreshableVersion="3" recordCount="0" supportSubquery="1" supportAdvancedDrill="1" xr:uid="{E03CF1D5-F911-44E5-B4B8-A22B310B214C}">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0" memberValueDatatype="130" unbalanced="0"/>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119952054"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ekwe Favour" refreshedDate="46098.989502546297" backgroundQuery="1" createdVersion="3" refreshedVersion="8" minRefreshableVersion="3" recordCount="0" supportSubquery="1" supportAdvancedDrill="1" xr:uid="{BD452715-7843-4873-9439-B3CAD0C84B18}">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Data].[EmployeeID]" caption="EmployeeID" attribute="1" defaultMemberUniqueName="[Data].[EmployeeID].[All]" allUniqueName="[Data].[EmployeeID].[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Range]" caption="Age Range" attribute="1" defaultMemberUniqueName="[Data].[Age Range].[All]" allUniqueName="[Data].[Age Rang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Department]" caption="Department" attribute="1" defaultMemberUniqueName="[Data].[Department].[All]" allUniqueName="[Data].[Department].[All]" dimensionUniqueName="[Data]" displayFolder="" count="0" memberValueDatatype="130" unbalanced="0"/>
    <cacheHierarchy uniqueName="[Data].[Job Role]" caption="Job Role" attribute="1" defaultMemberUniqueName="[Data].[Job Role].[All]" allUniqueName="[Data].[Job Role].[All]" dimensionUniqueName="[Data]" displayFolder="" count="2" memberValueDatatype="130" unbalanced="0"/>
    <cacheHierarchy uniqueName="[Data].[Years of Service]" caption="Years of Service" attribute="1" defaultMemberUniqueName="[Data].[Years of Service].[All]" allUniqueName="[Data].[Years of Servic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Performance Range]" caption="Performance Range" attribute="1" defaultMemberUniqueName="[Data].[Performance Range].[All]" allUniqueName="[Data].[Performance Range].[All]" dimensionUniqueName="[Data]" displayFolder="" count="0" memberValueDatatype="130" unbalanced="0"/>
    <cacheHierarchy uniqueName="[Data].[Satisfaction Score]" caption="Satisfaction Score" attribute="1" defaultMemberUniqueName="[Data].[Satisfaction Score].[All]" allUniqueName="[Data].[Satisfaction Score].[All]" dimensionUniqueName="[Data]" displayFolder="" count="0" memberValueDatatype="5" unbalanced="0"/>
    <cacheHierarchy uniqueName="[Data].[Satisfaction Range]" caption="Satisfaction Range" attribute="1" defaultMemberUniqueName="[Data].[Satisfaction Range].[All]" allUniqueName="[Data].[Satisfaction Rang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Salary Range]" caption="Salary Range" attribute="1" defaultMemberUniqueName="[Data].[Salary Range].[All]" allUniqueName="[Data].[Salary Range].[All]" dimensionUniqueName="[Data]" displayFolder="" count="0" memberValueDatatype="130" unbalanced="0"/>
    <cacheHierarchy uniqueName="[Data].[Attrition]" caption="Attrition" attribute="1" defaultMemberUniqueName="[Data].[Attrition].[All]" allUniqueName="[Data].[Attrition].[All]" dimensionUniqueName="[Data]" displayFolder="" count="0" memberValueDatatype="130" unbalanced="0"/>
    <cacheHierarchy uniqueName="[Data].[Attrition Count]" caption="Attrition Count" attribute="1" defaultMemberUniqueName="[Data].[Attrition Count].[All]" allUniqueName="[Data].[Attrition C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EmployeeID]" caption="Count of EmployeeID" measure="1" displayFolder="" measureGroup="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
        </ext>
      </extLst>
    </cacheHierarchy>
    <cacheHierarchy uniqueName="[Measures].[Sum of Years of Service]" caption="Sum of Years of Service" measure="1" displayFolder="" measureGroup="Data" count="0" hidden="1">
      <extLst>
        <ext xmlns:x15="http://schemas.microsoft.com/office/spreadsheetml/2010/11/main" uri="{B97F6D7D-B522-45F9-BDA1-12C45D357490}">
          <x15:cacheHierarchy aggregatedColumn="6"/>
        </ext>
      </extLst>
    </cacheHierarchy>
    <cacheHierarchy uniqueName="[Measures].[Average of Years of Service]" caption="Average of Years of Service" measure="1" displayFolder="" measureGroup="Data" count="0" hidden="1">
      <extLst>
        <ext xmlns:x15="http://schemas.microsoft.com/office/spreadsheetml/2010/11/main" uri="{B97F6D7D-B522-45F9-BDA1-12C45D357490}">
          <x15:cacheHierarchy aggregatedColumn="6"/>
        </ext>
      </extLst>
    </cacheHierarchy>
    <cacheHierarchy uniqueName="[Measures].[Sum of Performance Rating]" caption="Sum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Average of Performance Rating]" caption="Average of Performance Rating" measure="1" displayFolder="" measureGroup="Data" count="0" hidden="1">
      <extLst>
        <ext xmlns:x15="http://schemas.microsoft.com/office/spreadsheetml/2010/11/main" uri="{B97F6D7D-B522-45F9-BDA1-12C45D357490}">
          <x15:cacheHierarchy aggregatedColumn="7"/>
        </ext>
      </extLst>
    </cacheHierarchy>
    <cacheHierarchy uniqueName="[Measures].[Sum of Satisfaction Score]" caption="Sum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Average of Satisfaction Score]" caption="Average of Satisfaction Score" measure="1" displayFolder="" measureGroup="Data" count="0" hidden="1">
      <extLst>
        <ext xmlns:x15="http://schemas.microsoft.com/office/spreadsheetml/2010/11/main" uri="{B97F6D7D-B522-45F9-BDA1-12C45D357490}">
          <x15:cacheHierarchy aggregatedColumn="9"/>
        </ext>
      </extLst>
    </cacheHierarchy>
    <cacheHierarchy uniqueName="[Measures].[Sum of Salary]" caption="Sum of Salary" measure="1" displayFolder="" measureGroup="Data"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3258914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04631-D5D2-4F4C-9827-AF1EE5A1F9DA}" name="PivotTable16"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20" firstHeaderRow="1" firstDataRow="1" firstDataCol="1" rowPageCount="1" colPageCount="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v="2"/>
    </i>
    <i>
      <x v="3"/>
    </i>
    <i>
      <x v="4"/>
    </i>
    <i>
      <x v="1"/>
    </i>
    <i>
      <x/>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59BDF0-7AD1-4968-88BD-EE1FD9671FFA}" name="PivotTable1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9CEC9E-3E9B-481D-8793-2B13E6F2355A}" name="PivotTable18"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20" firstHeaderRow="1" firstDataRow="1" firstDataCol="1" rowPageCount="1" colPageCount="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4">
    <i>
      <x v="1"/>
    </i>
    <i>
      <x/>
    </i>
    <i>
      <x v="2"/>
    </i>
    <i>
      <x v="3"/>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52F36-AB69-488B-9115-85F968127D5B}" name="PivotTable1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E3C5F4-6562-4E0F-B48A-6B0EE8093663}" name="PivotTable2"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unt of EmployeeID" fld="0" subtotal="count" baseField="0" baseItem="0"/>
    <dataField name="Average of Age" fld="1" subtotal="average" baseField="0" baseItem="1" numFmtId="165"/>
    <dataField name="Average of Years of Service" fld="2" subtotal="average" baseField="0" baseItem="1" numFmtId="165"/>
    <dataField name="Average of Performance Rating" fld="3" subtotal="average" baseField="0" baseItem="2" numFmtId="165"/>
    <dataField name="Average of Satisfaction Score" fld="4" subtotal="average" baseField="0" baseItem="3" numFmtId="165"/>
    <dataField name="Average of Salary" fld="5" subtotal="average" baseField="0" baseItem="4" numFmtId="166"/>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caption="Average of Years of Service"/>
    <pivotHierarchy dragToData="1"/>
    <pivotHierarchy dragToData="1" caption="Average of Performance Rating"/>
    <pivotHierarchy dragToData="1"/>
    <pivotHierarchy dragToData="1" caption="Average of Satisfaction Score"/>
    <pivotHierarchy dragToData="1"/>
    <pivotHierarchy dragToData="1" caption="Average of Salar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D84C12-AD84-4DC8-8449-7E20A19E6285}" name="PivotTable19"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F11" firstHeaderRow="0" firstDataRow="1" firstDataCol="0" rowPageCount="1" colPageCount="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pageFields count="1">
    <pageField fld="6" hier="13" name="[Data].[Attrition].&amp;[Yes]" cap="Yes"/>
  </pageFields>
  <dataFields count="6">
    <dataField name="Count of EmployeeID" fld="0" subtotal="count" baseField="0" baseItem="0"/>
    <dataField name="Average of Age" fld="1" subtotal="average" baseField="0" baseItem="1" numFmtId="165"/>
    <dataField name="Average of Years of Service" fld="2" subtotal="average" baseField="0" baseItem="1" numFmtId="165"/>
    <dataField name="Average of Performance Rating" fld="3" subtotal="average" baseField="0" baseItem="2" numFmtId="165"/>
    <dataField name="Average of Satisfaction Score" fld="4" subtotal="average" baseField="0" baseItem="3" numFmtId="165"/>
    <dataField name="Average of Salary" fld="5" subtotal="average" baseField="0" baseItem="4" numFmtId="166"/>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caption="Average of Years of Service"/>
    <pivotHierarchy dragToData="1"/>
    <pivotHierarchy dragToData="1" caption="Average of Performance Rating"/>
    <pivotHierarchy dragToData="1"/>
    <pivotHierarchy dragToData="1" caption="Average of Satisfaction Score"/>
    <pivotHierarchy dragToData="1"/>
    <pivotHierarchy dragToData="1" caption="Average of Salar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3FBA90-2197-48D5-83B7-19286A56F5D4}" name="PivotTable1"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6"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EmployeeID" fld="0" subtotal="count" baseField="0" baseItem="0"/>
    <dataField name="Count of EmployeeID2" fld="3" subtotal="count" showDataAs="percentOfTotal" baseField="0" baseItem="0" numFmtId="164">
      <extLst>
        <ext xmlns:x14="http://schemas.microsoft.com/office/spreadsheetml/2009/9/main" uri="{E15A36E0-9728-4e99-A89B-3F7291B0FE68}">
          <x14:dataField sourceField="0" uniqueName="[__Xl2].[Measures].[Count of EmployeeID]"/>
        </ext>
      </extLst>
    </dataField>
  </dataField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A49BA4-FD9F-44B1-B258-F65F1A869548}"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BCD46F-4F24-4022-A7A4-EACD0EF72871}" name="PivotTable4" cacheId="3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B19"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3AC11E-75A8-4A60-A953-EE095B2047D2}" name="PivotTable6"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B13"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CD8E3A-1019-4663-926B-40D5D20ED1B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5F9151-EEA6-4E44-A470-AECAB687C0A0}"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3"/>
    </i>
    <i>
      <x v="2"/>
    </i>
    <i>
      <x v="4"/>
    </i>
    <i>
      <x v="1"/>
    </i>
    <i>
      <x/>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7ADB99-A0E1-445B-A303-CC87CE975701}" name="PivotTable8"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7:B23" firstHeaderRow="1" firstDataRow="1" firstDataCol="1" rowPageCount="1" colPageCount="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1"/>
    </i>
    <i>
      <x v="5"/>
    </i>
    <i>
      <x v="4"/>
    </i>
    <i>
      <x v="3"/>
    </i>
    <i>
      <x/>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9D6C90-5EFA-4429-A710-42CC4EFCFB4D}" name="PivotTable10"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5:B21" firstHeaderRow="1" firstDataRow="1" firstDataCol="1" rowPageCount="1" colPageCount="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6">
    <i>
      <x/>
    </i>
    <i>
      <x v="4"/>
    </i>
    <i>
      <x v="3"/>
    </i>
    <i>
      <x v="1"/>
    </i>
    <i>
      <x v="2"/>
    </i>
    <i>
      <x v="5"/>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715CCC-9107-4922-A256-26B92ECEC1F6}" name="PivotTable9"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B1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5E6800-296A-43EC-A41F-F13DB5ED812A}"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83A747-211A-4341-8093-F1AD168352FC}" name="PivotTable12"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4:B3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x v="14"/>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E396F5-73BC-49D6-93E7-6C092BCFE065}"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F098860-E0E7-497F-A718-27C356CAE4FE}" name="PivotTable1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20" firstHeaderRow="1" firstDataRow="1" firstDataCol="1" rowPageCount="1" colPageCount="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v="3"/>
    </i>
    <i>
      <x/>
    </i>
    <i>
      <x v="2"/>
    </i>
    <i>
      <x v="1"/>
    </i>
    <i>
      <x v="4"/>
    </i>
  </rowItems>
  <colItems count="1">
    <i/>
  </colItems>
  <pageFields count="1">
    <pageField fld="2" hier="13" name="[Data].[Attrition].&amp;[Yes]" cap="Yes"/>
  </pageFields>
  <dataFields count="1">
    <dataField name="Count of EmployeeI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ttrition].&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FF249E-BC72-4534-8E2B-8A102C3F7BDB}" autoFormatId="16" applyNumberFormats="0" applyBorderFormats="0" applyFontFormats="0" applyPatternFormats="0" applyAlignmentFormats="0" applyWidthHeightFormats="0">
  <queryTableRefresh nextId="18">
    <queryTableFields count="15">
      <queryTableField id="1" name=" EmployeeID " tableColumnId="1"/>
      <queryTableField id="2" name=" Age " tableColumnId="2"/>
      <queryTableField id="3" name="Age Range" tableColumnId="3"/>
      <queryTableField id="4" name=" Gender  " tableColumnId="4"/>
      <queryTableField id="5" name=" Department " tableColumnId="5"/>
      <queryTableField id="6" name=" Job Role   " tableColumnId="6"/>
      <queryTableField id="7" name=" Years of Service " tableColumnId="7"/>
      <queryTableField id="8" name=" Performance Rating " tableColumnId="8"/>
      <queryTableField id="9" name="Performance Range" tableColumnId="9"/>
      <queryTableField id="10" name=" Satisfaction Score " tableColumnId="10"/>
      <queryTableField id="16" name="Satisfaction Range" tableColumnId="16"/>
      <queryTableField id="12" name=" Salary " tableColumnId="12"/>
      <queryTableField id="13" name="Salary Range" tableColumnId="13"/>
      <queryTableField id="14" name=" Attrition " tableColumnId="14"/>
      <queryTableField id="15" name="Attrition Cou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197E2D-FC7B-4E16-A84A-880741AEDD70}" sourceName="[Data].[Gender]">
  <pivotTables>
    <pivotTable tabId="6" name="PivotTable6"/>
    <pivotTable tabId="3" name="PivotTable1"/>
    <pivotTable tabId="7" name="PivotTable7"/>
    <pivotTable tabId="7" name="PivotTable8"/>
    <pivotTable tabId="6" name="PivotTable5"/>
    <pivotTable tabId="8" name="PivotTable10"/>
    <pivotTable tabId="8" name="PivotTable9"/>
    <pivotTable tabId="4" name="PivotTable2"/>
    <pivotTable tabId="10" name="PivotTable13"/>
    <pivotTable tabId="10" name="PivotTable14"/>
    <pivotTable tabId="12" name="PivotTable17"/>
    <pivotTable tabId="12" name="PivotTable18"/>
    <pivotTable tabId="11" name="PivotTable15"/>
    <pivotTable tabId="11" name="PivotTable16"/>
    <pivotTable tabId="5" name="PivotTable3"/>
    <pivotTable tabId="5" name="PivotTable4"/>
    <pivotTable tabId="9" name="PivotTable11"/>
    <pivotTable tabId="9" name="PivotTable12"/>
    <pivotTable tabId="4" name="PivotTable19"/>
  </pivotTables>
  <data>
    <olap pivotCacheId="1119952054">
      <levels count="2">
        <level uniqueName="[Data].[Gender].[(All)]" sourceCaption="(All)" count="0"/>
        <level uniqueName="[Data].[Gender].[Gender]" sourceCaption="Gender" count="2">
          <ranges>
            <range startItem="0">
              <i n="[Data].[Gender].&amp;[Female]" c="Female"/>
              <i n="[Data].[Gender].&amp;[Male]" c="Male"/>
            </range>
          </ranges>
        </level>
      </levels>
      <selections count="1">
        <selection n="[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90FC16A2-BD6F-4109-9E98-E045FCA52BE7}" sourceName="[Data].[Job Role]">
  <pivotTables>
    <pivotTable tabId="8" name="PivotTable10"/>
    <pivotTable tabId="3" name="PivotTable1"/>
    <pivotTable tabId="7" name="PivotTable7"/>
    <pivotTable tabId="7" name="PivotTable8"/>
    <pivotTable tabId="6" name="PivotTable5"/>
    <pivotTable tabId="6" name="PivotTable6"/>
    <pivotTable tabId="8" name="PivotTable9"/>
    <pivotTable tabId="4" name="PivotTable2"/>
    <pivotTable tabId="10" name="PivotTable13"/>
    <pivotTable tabId="10" name="PivotTable14"/>
    <pivotTable tabId="12" name="PivotTable17"/>
    <pivotTable tabId="12" name="PivotTable18"/>
    <pivotTable tabId="11" name="PivotTable15"/>
    <pivotTable tabId="11" name="PivotTable16"/>
    <pivotTable tabId="5" name="PivotTable3"/>
    <pivotTable tabId="5" name="PivotTable4"/>
    <pivotTable tabId="9" name="PivotTable11"/>
    <pivotTable tabId="9" name="PivotTable12"/>
    <pivotTable tabId="4" name="PivotTable19"/>
  </pivotTables>
  <data>
    <olap pivotCacheId="1325891494">
      <levels count="2">
        <level uniqueName="[Data].[Job Role].[(All)]" sourceCaption="(All)" count="0"/>
        <level uniqueName="[Data].[Job Role].[Job Role]" sourceCaption="Job Role" count="6">
          <ranges>
            <range startItem="0">
              <i n="[Data].[Job Role].&amp;[Accountant]" c="Accountant"/>
              <i n="[Data].[Job Role].&amp;[Analyst]" c="Analyst"/>
              <i n="[Data].[Job Role].&amp;[Engineer]" c="Engineer"/>
              <i n="[Data].[Job Role].&amp;[Manager]" c="Manager"/>
              <i n="[Data].[Job Role].&amp;[Sales Rep]" c="Sales Rep"/>
              <i n="[Data].[Job Role].&amp;[Specialist]" c="Specialist"/>
            </range>
          </ranges>
        </level>
      </levels>
      <selections count="1">
        <selection n="[Data].[Job 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A83DD98-FC1D-4D7F-8633-1C0D391A66DE}" cache="Slicer_Gender" caption="Filter By Gender" columnCount="2" level="1" style="Slicer Style 1" rowHeight="468000"/>
  <slicer name="Job Role 1" xr10:uid="{F8F9931D-4667-44BA-9788-2545F0FC46DB}" cache="Slicer_Job_Role" caption="Filter by Job Role" columnCount="2" level="1" style="Slicer Style 8"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2545FAE-4959-4681-9228-159C7B555B5D}" cache="Slicer_Gender" caption="Gender"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C8CA9251-B772-4CE3-9731-8CFDCBEC18F2}" cache="Slicer_Job_Role" caption="Job Rol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3664BB-3442-4FCC-8B34-FABD027509EC}" name="Data" displayName="Data" ref="A1:O781" tableType="queryTable" totalsRowShown="0">
  <autoFilter ref="A1:O781" xr:uid="{4F3664BB-3442-4FCC-8B34-FABD027509EC}"/>
  <tableColumns count="15">
    <tableColumn id="1" xr3:uid="{F0CC890A-EC2C-4375-9EE1-26C5394B705E}" uniqueName="1" name=" EmployeeID " queryTableFieldId="1" dataDxfId="8"/>
    <tableColumn id="2" xr3:uid="{EA4E5936-ECAD-4B8E-ABE5-AA2FA7E700CB}" uniqueName="2" name=" Age " queryTableFieldId="2"/>
    <tableColumn id="3" xr3:uid="{9E5192E4-E422-40B6-A776-76FB32D35232}" uniqueName="3" name="Age Range" queryTableFieldId="3" dataDxfId="7"/>
    <tableColumn id="4" xr3:uid="{865B7F3E-0C2A-4725-8381-AE96BCD8712B}" uniqueName="4" name=" Gender  " queryTableFieldId="4" dataDxfId="6"/>
    <tableColumn id="5" xr3:uid="{29EFA5BD-60F4-41C9-BE16-48858A4FCCDE}" uniqueName="5" name=" Department " queryTableFieldId="5" dataDxfId="5"/>
    <tableColumn id="6" xr3:uid="{23E203CC-4502-493E-9422-76B64862EA40}" uniqueName="6" name=" Job Role   " queryTableFieldId="6" dataDxfId="4"/>
    <tableColumn id="7" xr3:uid="{14A19C6A-9A19-4FD7-A010-D61D9136B8DC}" uniqueName="7" name=" Years of Service " queryTableFieldId="7"/>
    <tableColumn id="8" xr3:uid="{A085089F-EBB9-400C-A953-B92632144CA3}" uniqueName="8" name=" Performance Rating " queryTableFieldId="8"/>
    <tableColumn id="9" xr3:uid="{1E3DDAD7-64F5-451B-BBF4-F3D670165FF8}" uniqueName="9" name="Performance Range" queryTableFieldId="9" dataDxfId="3"/>
    <tableColumn id="10" xr3:uid="{D081CCE1-31A0-423D-9DE7-1DD0FBAAF763}" uniqueName="10" name=" Satisfaction Score " queryTableFieldId="10"/>
    <tableColumn id="16" xr3:uid="{CF64666F-85D1-4F99-AA64-C54E106A4D6C}" uniqueName="16" name="Satisfaction Range" queryTableFieldId="16" dataDxfId="2"/>
    <tableColumn id="12" xr3:uid="{4D907B20-2806-4CF2-86A7-7A3012EB55C2}" uniqueName="12" name=" Salary " queryTableFieldId="12"/>
    <tableColumn id="13" xr3:uid="{9FB9EC45-9264-499D-A6D5-88DE7840C3AC}" uniqueName="13" name="Salary Range" queryTableFieldId="13" dataDxfId="1"/>
    <tableColumn id="14" xr3:uid="{FC3B5A0E-D2AC-49E1-AD78-8F2EA19EF0F5}" uniqueName="14" name=" Attrition " queryTableFieldId="14" dataDxfId="0"/>
    <tableColumn id="15" xr3:uid="{D228AA76-86EC-4A01-B34B-BEAFD46B0A10}" uniqueName="15" name="Attrition Count"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7E874-8344-4614-8606-3430E9B52D56}">
  <sheetPr>
    <tabColor rgb="FF05DA97"/>
  </sheetPr>
  <dimension ref="E13:O21"/>
  <sheetViews>
    <sheetView showGridLines="0" showRowColHeaders="0" tabSelected="1" zoomScaleNormal="100" workbookViewId="0">
      <selection activeCell="B2" sqref="B2"/>
    </sheetView>
  </sheetViews>
  <sheetFormatPr defaultRowHeight="14.4" x14ac:dyDescent="0.3"/>
  <cols>
    <col min="1" max="16384" width="8.88671875" style="6"/>
  </cols>
  <sheetData>
    <row r="13" spans="15:15" x14ac:dyDescent="0.3">
      <c r="O13" s="7"/>
    </row>
    <row r="21" spans="5:5" x14ac:dyDescent="0.3">
      <c r="E21" s="6" t="s">
        <v>838</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7755-0840-4BCB-AFF3-9D0E43613B48}">
  <sheetPr>
    <tabColor rgb="FF002060"/>
  </sheetPr>
  <dimension ref="A3:G20"/>
  <sheetViews>
    <sheetView workbookViewId="0">
      <selection activeCell="S10" sqref="S10"/>
    </sheetView>
  </sheetViews>
  <sheetFormatPr defaultRowHeight="14.4" x14ac:dyDescent="0.3"/>
  <cols>
    <col min="1" max="1" width="15.6640625" bestFit="1" customWidth="1"/>
    <col min="2" max="2" width="18.33203125" bestFit="1" customWidth="1"/>
  </cols>
  <sheetData>
    <row r="3" spans="1:7" x14ac:dyDescent="0.3">
      <c r="A3" s="1" t="s">
        <v>828</v>
      </c>
      <c r="B3" t="s">
        <v>827</v>
      </c>
    </row>
    <row r="4" spans="1:7" x14ac:dyDescent="0.3">
      <c r="A4" s="2" t="s">
        <v>19</v>
      </c>
      <c r="B4">
        <v>364</v>
      </c>
    </row>
    <row r="5" spans="1:7" x14ac:dyDescent="0.3">
      <c r="A5" s="2" t="s">
        <v>48</v>
      </c>
      <c r="B5">
        <v>230</v>
      </c>
    </row>
    <row r="6" spans="1:7" x14ac:dyDescent="0.3">
      <c r="A6" s="2" t="s">
        <v>66</v>
      </c>
      <c r="B6">
        <v>10</v>
      </c>
    </row>
    <row r="7" spans="1:7" x14ac:dyDescent="0.3">
      <c r="A7" s="2" t="s">
        <v>50</v>
      </c>
      <c r="B7">
        <v>23</v>
      </c>
    </row>
    <row r="8" spans="1:7" x14ac:dyDescent="0.3">
      <c r="A8" s="2" t="s">
        <v>28</v>
      </c>
      <c r="B8">
        <v>153</v>
      </c>
    </row>
    <row r="9" spans="1:7" x14ac:dyDescent="0.3">
      <c r="A9" s="2" t="s">
        <v>829</v>
      </c>
      <c r="B9">
        <v>780</v>
      </c>
    </row>
    <row r="13" spans="1:7" x14ac:dyDescent="0.3">
      <c r="A13" s="1" t="s">
        <v>836</v>
      </c>
      <c r="B13" t="s" vm="1">
        <v>39</v>
      </c>
    </row>
    <row r="15" spans="1:7" x14ac:dyDescent="0.3">
      <c r="A15" s="1" t="s">
        <v>828</v>
      </c>
      <c r="B15" t="s">
        <v>827</v>
      </c>
      <c r="G15">
        <f>MAX(F16:F20)*1.25</f>
        <v>145</v>
      </c>
    </row>
    <row r="16" spans="1:7" x14ac:dyDescent="0.3">
      <c r="A16" s="2" t="s">
        <v>66</v>
      </c>
      <c r="B16">
        <v>3</v>
      </c>
      <c r="E16" t="str">
        <f>A16</f>
        <v>Highly Dissatisfied</v>
      </c>
      <c r="F16">
        <f>B16</f>
        <v>3</v>
      </c>
      <c r="G16">
        <f>$G$15-F16</f>
        <v>142</v>
      </c>
    </row>
    <row r="17" spans="1:7" x14ac:dyDescent="0.3">
      <c r="A17" s="2" t="s">
        <v>50</v>
      </c>
      <c r="B17">
        <v>4</v>
      </c>
      <c r="E17" t="str">
        <f t="shared" ref="E17:E20" si="0">A17</f>
        <v>Highly Satisfied</v>
      </c>
      <c r="F17">
        <f t="shared" ref="F17:F20" si="1">B17</f>
        <v>4</v>
      </c>
      <c r="G17">
        <f t="shared" ref="G17:G20" si="2">$G$15-F17</f>
        <v>141</v>
      </c>
    </row>
    <row r="18" spans="1:7" x14ac:dyDescent="0.3">
      <c r="A18" s="2" t="s">
        <v>28</v>
      </c>
      <c r="B18">
        <v>43</v>
      </c>
      <c r="E18" t="str">
        <f t="shared" si="0"/>
        <v>Satisfied</v>
      </c>
      <c r="F18">
        <f t="shared" si="1"/>
        <v>43</v>
      </c>
      <c r="G18">
        <f t="shared" si="2"/>
        <v>102</v>
      </c>
    </row>
    <row r="19" spans="1:7" x14ac:dyDescent="0.3">
      <c r="A19" s="2" t="s">
        <v>48</v>
      </c>
      <c r="B19">
        <v>68</v>
      </c>
      <c r="E19" t="str">
        <f t="shared" si="0"/>
        <v>Dissatisfied</v>
      </c>
      <c r="F19">
        <f t="shared" si="1"/>
        <v>68</v>
      </c>
      <c r="G19">
        <f t="shared" si="2"/>
        <v>77</v>
      </c>
    </row>
    <row r="20" spans="1:7" x14ac:dyDescent="0.3">
      <c r="A20" s="2" t="s">
        <v>19</v>
      </c>
      <c r="B20">
        <v>116</v>
      </c>
      <c r="E20" t="str">
        <f t="shared" si="0"/>
        <v>Average</v>
      </c>
      <c r="F20">
        <f t="shared" si="1"/>
        <v>116</v>
      </c>
      <c r="G20">
        <f t="shared" si="2"/>
        <v>29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8B750-6C23-4CCF-A03A-7CCC2911F305}">
  <sheetPr>
    <tabColor rgb="FF7030A0"/>
  </sheetPr>
  <dimension ref="A3:G20"/>
  <sheetViews>
    <sheetView workbookViewId="0">
      <selection activeCell="F19" sqref="F19"/>
    </sheetView>
  </sheetViews>
  <sheetFormatPr defaultRowHeight="14.4" x14ac:dyDescent="0.3"/>
  <cols>
    <col min="1" max="1" width="12.44140625" bestFit="1" customWidth="1"/>
    <col min="2" max="2" width="18.33203125" bestFit="1" customWidth="1"/>
  </cols>
  <sheetData>
    <row r="3" spans="1:7" x14ac:dyDescent="0.3">
      <c r="A3" s="1" t="s">
        <v>828</v>
      </c>
      <c r="B3" t="s">
        <v>827</v>
      </c>
    </row>
    <row r="4" spans="1:7" x14ac:dyDescent="0.3">
      <c r="A4" s="2" t="s">
        <v>19</v>
      </c>
      <c r="B4">
        <v>311</v>
      </c>
    </row>
    <row r="5" spans="1:7" x14ac:dyDescent="0.3">
      <c r="A5" s="2" t="s">
        <v>29</v>
      </c>
      <c r="B5">
        <v>341</v>
      </c>
    </row>
    <row r="6" spans="1:7" x14ac:dyDescent="0.3">
      <c r="A6" s="2" t="s">
        <v>51</v>
      </c>
      <c r="B6">
        <v>68</v>
      </c>
    </row>
    <row r="7" spans="1:7" x14ac:dyDescent="0.3">
      <c r="A7" s="2" t="s">
        <v>20</v>
      </c>
      <c r="B7">
        <v>60</v>
      </c>
    </row>
    <row r="8" spans="1:7" x14ac:dyDescent="0.3">
      <c r="A8" s="2" t="s">
        <v>829</v>
      </c>
      <c r="B8">
        <v>780</v>
      </c>
    </row>
    <row r="14" spans="1:7" x14ac:dyDescent="0.3">
      <c r="A14" s="1" t="s">
        <v>836</v>
      </c>
      <c r="B14" t="s" vm="1">
        <v>39</v>
      </c>
    </row>
    <row r="16" spans="1:7" x14ac:dyDescent="0.3">
      <c r="A16" s="1" t="s">
        <v>828</v>
      </c>
      <c r="B16" t="s">
        <v>827</v>
      </c>
      <c r="G16">
        <f>MAX(F17:F20)*1.25</f>
        <v>108.75</v>
      </c>
    </row>
    <row r="17" spans="1:7" x14ac:dyDescent="0.3">
      <c r="A17" s="2" t="s">
        <v>29</v>
      </c>
      <c r="B17">
        <v>87</v>
      </c>
      <c r="E17" t="str">
        <f>A17</f>
        <v>Low</v>
      </c>
      <c r="F17">
        <f>B17</f>
        <v>87</v>
      </c>
      <c r="G17">
        <f>$G$16-F17</f>
        <v>21.75</v>
      </c>
    </row>
    <row r="18" spans="1:7" x14ac:dyDescent="0.3">
      <c r="A18" s="2" t="s">
        <v>19</v>
      </c>
      <c r="B18">
        <v>86</v>
      </c>
      <c r="E18" t="str">
        <f t="shared" ref="E18:E20" si="0">A18</f>
        <v>Average</v>
      </c>
      <c r="F18">
        <f t="shared" ref="F18:F20" si="1">B18</f>
        <v>86</v>
      </c>
      <c r="G18">
        <f t="shared" ref="G18:G20" si="2">$G$16-F18</f>
        <v>22.75</v>
      </c>
    </row>
    <row r="19" spans="1:7" x14ac:dyDescent="0.3">
      <c r="A19" s="2" t="s">
        <v>51</v>
      </c>
      <c r="B19">
        <v>37</v>
      </c>
      <c r="E19" t="str">
        <f t="shared" si="0"/>
        <v>Very High</v>
      </c>
      <c r="F19">
        <f t="shared" si="1"/>
        <v>37</v>
      </c>
      <c r="G19">
        <f t="shared" si="2"/>
        <v>71.75</v>
      </c>
    </row>
    <row r="20" spans="1:7" x14ac:dyDescent="0.3">
      <c r="A20" s="2" t="s">
        <v>20</v>
      </c>
      <c r="B20">
        <v>24</v>
      </c>
      <c r="E20" t="str">
        <f t="shared" si="0"/>
        <v>Very Low</v>
      </c>
      <c r="F20">
        <f t="shared" si="1"/>
        <v>24</v>
      </c>
      <c r="G20">
        <f t="shared" si="2"/>
        <v>84.75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8420-89AC-4B47-BD91-E5993F2C152E}">
  <sheetPr>
    <tabColor rgb="FFFF0000"/>
  </sheetPr>
  <dimension ref="A3:F15"/>
  <sheetViews>
    <sheetView workbookViewId="0">
      <selection activeCell="E15" sqref="E15"/>
    </sheetView>
  </sheetViews>
  <sheetFormatPr defaultRowHeight="14.4" x14ac:dyDescent="0.3"/>
  <cols>
    <col min="1" max="1" width="18.33203125" bestFit="1" customWidth="1"/>
    <col min="2" max="2" width="12.77734375" bestFit="1" customWidth="1"/>
    <col min="3" max="3" width="23.109375" bestFit="1" customWidth="1"/>
    <col min="4" max="4" width="26.44140625" bestFit="1" customWidth="1"/>
    <col min="5" max="5" width="25.21875" bestFit="1" customWidth="1"/>
    <col min="6" max="6" width="15.109375" bestFit="1" customWidth="1"/>
  </cols>
  <sheetData>
    <row r="3" spans="1:6" x14ac:dyDescent="0.3">
      <c r="A3" t="s">
        <v>827</v>
      </c>
      <c r="B3" t="s">
        <v>831</v>
      </c>
      <c r="C3" t="s">
        <v>832</v>
      </c>
      <c r="D3" t="s">
        <v>833</v>
      </c>
      <c r="E3" t="s">
        <v>834</v>
      </c>
      <c r="F3" t="s">
        <v>835</v>
      </c>
    </row>
    <row r="4" spans="1:6" x14ac:dyDescent="0.3">
      <c r="A4">
        <v>780</v>
      </c>
      <c r="B4" s="4">
        <v>33.880769230769232</v>
      </c>
      <c r="C4" s="4">
        <v>6.4192307692307695</v>
      </c>
      <c r="D4" s="4">
        <v>6.7974358974358973</v>
      </c>
      <c r="E4" s="4">
        <v>3.7820512820512837</v>
      </c>
      <c r="F4" s="5">
        <v>60953.846153846156</v>
      </c>
    </row>
    <row r="8" spans="1:6" x14ac:dyDescent="0.3">
      <c r="A8" s="1" t="s">
        <v>836</v>
      </c>
      <c r="B8" t="s" vm="1">
        <v>39</v>
      </c>
    </row>
    <row r="10" spans="1:6" x14ac:dyDescent="0.3">
      <c r="A10" t="s">
        <v>827</v>
      </c>
      <c r="B10" t="s">
        <v>831</v>
      </c>
      <c r="C10" t="s">
        <v>832</v>
      </c>
      <c r="D10" t="s">
        <v>833</v>
      </c>
      <c r="E10" t="s">
        <v>834</v>
      </c>
      <c r="F10" t="s">
        <v>835</v>
      </c>
    </row>
    <row r="11" spans="1:6" x14ac:dyDescent="0.3">
      <c r="A11">
        <v>234</v>
      </c>
      <c r="B11" s="4">
        <v>33.910256410256409</v>
      </c>
      <c r="C11" s="4">
        <v>6.1709401709401712</v>
      </c>
      <c r="D11" s="4">
        <v>6.2863247863247862</v>
      </c>
      <c r="E11" s="4">
        <v>3.7662393162393162</v>
      </c>
      <c r="F11" s="5">
        <v>62145.299145299148</v>
      </c>
    </row>
    <row r="15" spans="1:6" x14ac:dyDescent="0.3">
      <c r="A15">
        <f>A11</f>
        <v>234</v>
      </c>
      <c r="B15" s="4">
        <f t="shared" ref="B15:F15" si="0">B11</f>
        <v>33.910256410256409</v>
      </c>
      <c r="C15" s="4">
        <f t="shared" si="0"/>
        <v>6.1709401709401712</v>
      </c>
      <c r="D15" s="4">
        <f t="shared" si="0"/>
        <v>6.2863247863247862</v>
      </c>
      <c r="E15" s="4">
        <f t="shared" si="0"/>
        <v>3.7662393162393162</v>
      </c>
      <c r="F15" s="5">
        <f t="shared" si="0"/>
        <v>62145.299145299148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F786-E103-4E3A-871C-2261D37B52B4}">
  <sheetPr>
    <tabColor rgb="FFC00000"/>
  </sheetPr>
  <dimension ref="A3:G7"/>
  <sheetViews>
    <sheetView workbookViewId="0">
      <selection activeCell="F7" sqref="F7"/>
    </sheetView>
  </sheetViews>
  <sheetFormatPr defaultRowHeight="14.4" x14ac:dyDescent="0.3"/>
  <cols>
    <col min="1" max="1" width="12.44140625" bestFit="1" customWidth="1"/>
    <col min="2" max="2" width="18.33203125" bestFit="1" customWidth="1"/>
    <col min="3" max="3" width="19.33203125" bestFit="1" customWidth="1"/>
  </cols>
  <sheetData>
    <row r="3" spans="1:7" x14ac:dyDescent="0.3">
      <c r="A3" s="1" t="s">
        <v>828</v>
      </c>
      <c r="B3" t="s">
        <v>827</v>
      </c>
      <c r="C3" t="s">
        <v>830</v>
      </c>
    </row>
    <row r="4" spans="1:7" x14ac:dyDescent="0.3">
      <c r="A4" s="2" t="s">
        <v>21</v>
      </c>
      <c r="B4">
        <v>546</v>
      </c>
      <c r="C4" s="3">
        <v>0.7</v>
      </c>
      <c r="F4">
        <f>B4</f>
        <v>546</v>
      </c>
      <c r="G4" s="3">
        <f>C4</f>
        <v>0.7</v>
      </c>
    </row>
    <row r="5" spans="1:7" x14ac:dyDescent="0.3">
      <c r="A5" s="2" t="s">
        <v>39</v>
      </c>
      <c r="B5">
        <v>234</v>
      </c>
      <c r="C5" s="3">
        <v>0.3</v>
      </c>
      <c r="F5">
        <f>B5</f>
        <v>234</v>
      </c>
      <c r="G5" s="3">
        <f>C5</f>
        <v>0.3</v>
      </c>
    </row>
    <row r="6" spans="1:7" x14ac:dyDescent="0.3">
      <c r="A6" s="2" t="s">
        <v>829</v>
      </c>
      <c r="B6">
        <v>780</v>
      </c>
      <c r="C6" s="3">
        <v>1</v>
      </c>
    </row>
    <row r="7" spans="1:7" x14ac:dyDescent="0.3">
      <c r="F7">
        <f>F4+F5</f>
        <v>780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A568-8270-41C5-860C-56E47D1A7B64}">
  <sheetPr>
    <tabColor rgb="FFFFC000"/>
  </sheetPr>
  <dimension ref="A3:F19"/>
  <sheetViews>
    <sheetView workbookViewId="0">
      <selection activeCell="B17" sqref="B17"/>
    </sheetView>
  </sheetViews>
  <sheetFormatPr defaultRowHeight="14.4" x14ac:dyDescent="0.3"/>
  <cols>
    <col min="1" max="1" width="12.44140625" bestFit="1" customWidth="1"/>
    <col min="2" max="2" width="18.33203125" bestFit="1" customWidth="1"/>
  </cols>
  <sheetData>
    <row r="3" spans="1:6" x14ac:dyDescent="0.3">
      <c r="A3" s="1" t="s">
        <v>828</v>
      </c>
      <c r="B3" t="s">
        <v>827</v>
      </c>
    </row>
    <row r="4" spans="1:6" x14ac:dyDescent="0.3">
      <c r="A4" s="2" t="s">
        <v>15</v>
      </c>
      <c r="B4">
        <v>228</v>
      </c>
    </row>
    <row r="5" spans="1:6" x14ac:dyDescent="0.3">
      <c r="A5" s="2" t="s">
        <v>23</v>
      </c>
      <c r="B5">
        <v>292</v>
      </c>
    </row>
    <row r="6" spans="1:6" x14ac:dyDescent="0.3">
      <c r="A6" s="2" t="s">
        <v>44</v>
      </c>
      <c r="B6">
        <v>180</v>
      </c>
    </row>
    <row r="7" spans="1:6" x14ac:dyDescent="0.3">
      <c r="A7" s="2" t="s">
        <v>35</v>
      </c>
      <c r="B7">
        <v>78</v>
      </c>
    </row>
    <row r="8" spans="1:6" x14ac:dyDescent="0.3">
      <c r="A8" s="2" t="s">
        <v>75</v>
      </c>
      <c r="B8">
        <v>2</v>
      </c>
    </row>
    <row r="9" spans="1:6" x14ac:dyDescent="0.3">
      <c r="A9" s="2" t="s">
        <v>829</v>
      </c>
      <c r="B9">
        <v>780</v>
      </c>
    </row>
    <row r="12" spans="1:6" x14ac:dyDescent="0.3">
      <c r="A12" s="1" t="s">
        <v>836</v>
      </c>
      <c r="B12" t="s" vm="1">
        <v>39</v>
      </c>
    </row>
    <row r="14" spans="1:6" x14ac:dyDescent="0.3">
      <c r="A14" s="1" t="s">
        <v>828</v>
      </c>
      <c r="B14" t="s">
        <v>827</v>
      </c>
    </row>
    <row r="15" spans="1:6" x14ac:dyDescent="0.3">
      <c r="A15" s="2" t="s">
        <v>15</v>
      </c>
      <c r="B15">
        <v>65</v>
      </c>
      <c r="E15" t="str">
        <f>A15</f>
        <v>26-30 years</v>
      </c>
      <c r="F15">
        <f>B15</f>
        <v>65</v>
      </c>
    </row>
    <row r="16" spans="1:6" x14ac:dyDescent="0.3">
      <c r="A16" s="2" t="s">
        <v>23</v>
      </c>
      <c r="B16">
        <v>91</v>
      </c>
      <c r="E16" t="str">
        <f t="shared" ref="E16:E19" si="0">A16</f>
        <v>31-35 years</v>
      </c>
      <c r="F16">
        <f t="shared" ref="F16:F19" si="1">B16</f>
        <v>91</v>
      </c>
    </row>
    <row r="17" spans="1:6" x14ac:dyDescent="0.3">
      <c r="A17" s="2" t="s">
        <v>44</v>
      </c>
      <c r="B17">
        <v>57</v>
      </c>
      <c r="E17" t="str">
        <f t="shared" si="0"/>
        <v>36-40 years</v>
      </c>
      <c r="F17">
        <f t="shared" si="1"/>
        <v>57</v>
      </c>
    </row>
    <row r="18" spans="1:6" x14ac:dyDescent="0.3">
      <c r="A18" s="2" t="s">
        <v>35</v>
      </c>
      <c r="B18">
        <v>20</v>
      </c>
      <c r="E18" t="str">
        <f t="shared" si="0"/>
        <v>41-45 years</v>
      </c>
      <c r="F18">
        <f t="shared" si="1"/>
        <v>20</v>
      </c>
    </row>
    <row r="19" spans="1:6" x14ac:dyDescent="0.3">
      <c r="A19" s="2" t="s">
        <v>75</v>
      </c>
      <c r="B19">
        <v>1</v>
      </c>
      <c r="E19" t="str">
        <f t="shared" si="0"/>
        <v>46-50 years</v>
      </c>
      <c r="F19">
        <f t="shared" si="1"/>
        <v>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CAB5-582B-48CA-B41E-1F93F19535EA}">
  <sheetPr>
    <tabColor rgb="FFFFFF00"/>
  </sheetPr>
  <dimension ref="A3:F13"/>
  <sheetViews>
    <sheetView workbookViewId="0">
      <selection activeCell="B13" sqref="B13"/>
    </sheetView>
  </sheetViews>
  <sheetFormatPr defaultRowHeight="14.4" x14ac:dyDescent="0.3"/>
  <cols>
    <col min="1" max="1" width="12.44140625" bestFit="1" customWidth="1"/>
    <col min="2" max="2" width="18.33203125" bestFit="1" customWidth="1"/>
  </cols>
  <sheetData>
    <row r="3" spans="1:6" x14ac:dyDescent="0.3">
      <c r="A3" s="1" t="s">
        <v>828</v>
      </c>
      <c r="B3" t="s">
        <v>827</v>
      </c>
    </row>
    <row r="4" spans="1:6" x14ac:dyDescent="0.3">
      <c r="A4" s="2" t="s">
        <v>24</v>
      </c>
      <c r="B4">
        <v>325</v>
      </c>
    </row>
    <row r="5" spans="1:6" x14ac:dyDescent="0.3">
      <c r="A5" s="2" t="s">
        <v>16</v>
      </c>
      <c r="B5">
        <v>455</v>
      </c>
    </row>
    <row r="6" spans="1:6" x14ac:dyDescent="0.3">
      <c r="A6" s="2" t="s">
        <v>829</v>
      </c>
      <c r="B6">
        <v>780</v>
      </c>
    </row>
    <row r="9" spans="1:6" x14ac:dyDescent="0.3">
      <c r="A9" s="1" t="s">
        <v>836</v>
      </c>
      <c r="B9" t="s" vm="1">
        <v>39</v>
      </c>
    </row>
    <row r="11" spans="1:6" x14ac:dyDescent="0.3">
      <c r="A11" s="1" t="s">
        <v>828</v>
      </c>
      <c r="B11" t="s">
        <v>827</v>
      </c>
    </row>
    <row r="12" spans="1:6" x14ac:dyDescent="0.3">
      <c r="A12" s="2" t="s">
        <v>24</v>
      </c>
      <c r="B12">
        <v>111</v>
      </c>
      <c r="E12" t="str">
        <f>A12</f>
        <v>Female</v>
      </c>
      <c r="F12">
        <f>B12</f>
        <v>111</v>
      </c>
    </row>
    <row r="13" spans="1:6" x14ac:dyDescent="0.3">
      <c r="A13" s="2" t="s">
        <v>16</v>
      </c>
      <c r="B13">
        <v>123</v>
      </c>
      <c r="E13" t="str">
        <f>A13</f>
        <v>Male</v>
      </c>
      <c r="F13">
        <f>B13</f>
        <v>123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F748-BCC0-4277-A807-7AB4604ADE80}">
  <sheetPr>
    <tabColor rgb="FF92D050"/>
  </sheetPr>
  <dimension ref="A3:F23"/>
  <sheetViews>
    <sheetView workbookViewId="0">
      <selection activeCell="E20" sqref="E20"/>
    </sheetView>
  </sheetViews>
  <sheetFormatPr defaultRowHeight="14.4" x14ac:dyDescent="0.3"/>
  <cols>
    <col min="1" max="1" width="12.44140625" bestFit="1" customWidth="1"/>
    <col min="2" max="2" width="18.33203125" bestFit="1" customWidth="1"/>
  </cols>
  <sheetData>
    <row r="3" spans="1:2" x14ac:dyDescent="0.3">
      <c r="A3" s="1" t="s">
        <v>828</v>
      </c>
      <c r="B3" t="s">
        <v>827</v>
      </c>
    </row>
    <row r="4" spans="1:2" x14ac:dyDescent="0.3">
      <c r="A4" s="2" t="s">
        <v>17</v>
      </c>
      <c r="B4">
        <v>157</v>
      </c>
    </row>
    <row r="5" spans="1:2" x14ac:dyDescent="0.3">
      <c r="A5" s="2" t="s">
        <v>31</v>
      </c>
      <c r="B5">
        <v>142</v>
      </c>
    </row>
    <row r="6" spans="1:2" x14ac:dyDescent="0.3">
      <c r="A6" s="2" t="s">
        <v>36</v>
      </c>
      <c r="B6">
        <v>132</v>
      </c>
    </row>
    <row r="7" spans="1:2" x14ac:dyDescent="0.3">
      <c r="A7" s="2" t="s">
        <v>25</v>
      </c>
      <c r="B7">
        <v>125</v>
      </c>
    </row>
    <row r="8" spans="1:2" x14ac:dyDescent="0.3">
      <c r="A8" s="2" t="s">
        <v>45</v>
      </c>
      <c r="B8">
        <v>119</v>
      </c>
    </row>
    <row r="9" spans="1:2" x14ac:dyDescent="0.3">
      <c r="A9" s="2" t="s">
        <v>41</v>
      </c>
      <c r="B9">
        <v>105</v>
      </c>
    </row>
    <row r="10" spans="1:2" x14ac:dyDescent="0.3">
      <c r="A10" s="2" t="s">
        <v>829</v>
      </c>
      <c r="B10">
        <v>780</v>
      </c>
    </row>
    <row r="15" spans="1:2" x14ac:dyDescent="0.3">
      <c r="A15" s="1" t="s">
        <v>836</v>
      </c>
      <c r="B15" t="s" vm="1">
        <v>39</v>
      </c>
    </row>
    <row r="17" spans="1:6" x14ac:dyDescent="0.3">
      <c r="A17" s="1" t="s">
        <v>828</v>
      </c>
      <c r="B17" t="s">
        <v>827</v>
      </c>
    </row>
    <row r="18" spans="1:6" x14ac:dyDescent="0.3">
      <c r="A18" s="2" t="s">
        <v>36</v>
      </c>
      <c r="B18">
        <v>49</v>
      </c>
      <c r="E18" t="str">
        <f>A18</f>
        <v>HR</v>
      </c>
      <c r="F18">
        <f>B18</f>
        <v>49</v>
      </c>
    </row>
    <row r="19" spans="1:6" x14ac:dyDescent="0.3">
      <c r="A19" s="2" t="s">
        <v>45</v>
      </c>
      <c r="B19">
        <v>46</v>
      </c>
      <c r="E19" t="str">
        <f t="shared" ref="E19:E23" si="0">A19</f>
        <v>FN</v>
      </c>
      <c r="F19">
        <f t="shared" ref="F19:F23" si="1">B19</f>
        <v>46</v>
      </c>
    </row>
    <row r="20" spans="1:6" x14ac:dyDescent="0.3">
      <c r="A20" s="2" t="s">
        <v>17</v>
      </c>
      <c r="B20">
        <v>44</v>
      </c>
      <c r="E20" t="str">
        <f t="shared" si="0"/>
        <v>SL</v>
      </c>
      <c r="F20">
        <f t="shared" si="1"/>
        <v>44</v>
      </c>
    </row>
    <row r="21" spans="1:6" x14ac:dyDescent="0.3">
      <c r="A21" s="2" t="s">
        <v>25</v>
      </c>
      <c r="B21">
        <v>41</v>
      </c>
      <c r="E21" t="str">
        <f t="shared" si="0"/>
        <v>MK</v>
      </c>
      <c r="F21">
        <f t="shared" si="1"/>
        <v>41</v>
      </c>
    </row>
    <row r="22" spans="1:6" x14ac:dyDescent="0.3">
      <c r="A22" s="2" t="s">
        <v>31</v>
      </c>
      <c r="B22">
        <v>36</v>
      </c>
      <c r="E22" t="str">
        <f t="shared" si="0"/>
        <v>IT</v>
      </c>
      <c r="F22">
        <f t="shared" si="1"/>
        <v>36</v>
      </c>
    </row>
    <row r="23" spans="1:6" x14ac:dyDescent="0.3">
      <c r="A23" s="2" t="s">
        <v>41</v>
      </c>
      <c r="B23">
        <v>18</v>
      </c>
      <c r="E23" t="str">
        <f t="shared" si="0"/>
        <v>EN</v>
      </c>
      <c r="F23">
        <f t="shared" si="1"/>
        <v>18</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7105E-4C1E-4779-AAA6-751B94899103}">
  <sheetPr>
    <tabColor rgb="FF00B050"/>
  </sheetPr>
  <dimension ref="A3:F21"/>
  <sheetViews>
    <sheetView workbookViewId="0">
      <selection activeCell="E34" sqref="E34"/>
    </sheetView>
  </sheetViews>
  <sheetFormatPr defaultRowHeight="14.4" x14ac:dyDescent="0.3"/>
  <cols>
    <col min="1" max="1" width="12.44140625" bestFit="1" customWidth="1"/>
    <col min="2" max="2" width="18.33203125" bestFit="1" customWidth="1"/>
  </cols>
  <sheetData>
    <row r="3" spans="1:6" x14ac:dyDescent="0.3">
      <c r="A3" s="1" t="s">
        <v>828</v>
      </c>
      <c r="B3" t="s">
        <v>827</v>
      </c>
    </row>
    <row r="4" spans="1:6" x14ac:dyDescent="0.3">
      <c r="A4" s="2" t="s">
        <v>46</v>
      </c>
      <c r="B4">
        <v>41</v>
      </c>
    </row>
    <row r="5" spans="1:6" x14ac:dyDescent="0.3">
      <c r="A5" s="2" t="s">
        <v>32</v>
      </c>
      <c r="B5">
        <v>124</v>
      </c>
    </row>
    <row r="6" spans="1:6" x14ac:dyDescent="0.3">
      <c r="A6" s="2" t="s">
        <v>42</v>
      </c>
      <c r="B6">
        <v>180</v>
      </c>
    </row>
    <row r="7" spans="1:6" x14ac:dyDescent="0.3">
      <c r="A7" s="2" t="s">
        <v>26</v>
      </c>
      <c r="B7">
        <v>103</v>
      </c>
    </row>
    <row r="8" spans="1:6" x14ac:dyDescent="0.3">
      <c r="A8" s="2" t="s">
        <v>18</v>
      </c>
      <c r="B8">
        <v>124</v>
      </c>
    </row>
    <row r="9" spans="1:6" x14ac:dyDescent="0.3">
      <c r="A9" s="2" t="s">
        <v>37</v>
      </c>
      <c r="B9">
        <v>208</v>
      </c>
    </row>
    <row r="10" spans="1:6" x14ac:dyDescent="0.3">
      <c r="A10" s="2" t="s">
        <v>829</v>
      </c>
      <c r="B10">
        <v>780</v>
      </c>
    </row>
    <row r="13" spans="1:6" x14ac:dyDescent="0.3">
      <c r="A13" s="1" t="s">
        <v>836</v>
      </c>
      <c r="B13" t="s" vm="1">
        <v>39</v>
      </c>
    </row>
    <row r="15" spans="1:6" x14ac:dyDescent="0.3">
      <c r="A15" s="1" t="s">
        <v>828</v>
      </c>
      <c r="B15" t="s">
        <v>827</v>
      </c>
    </row>
    <row r="16" spans="1:6" x14ac:dyDescent="0.3">
      <c r="A16" s="2" t="s">
        <v>46</v>
      </c>
      <c r="B16">
        <v>5</v>
      </c>
      <c r="E16" t="str">
        <f>A16</f>
        <v>Accountant</v>
      </c>
      <c r="F16">
        <f>B16</f>
        <v>5</v>
      </c>
    </row>
    <row r="17" spans="1:6" x14ac:dyDescent="0.3">
      <c r="A17" s="2" t="s">
        <v>18</v>
      </c>
      <c r="B17">
        <v>23</v>
      </c>
      <c r="E17" t="str">
        <f t="shared" ref="E17:E21" si="0">A17</f>
        <v>Sales Rep</v>
      </c>
      <c r="F17">
        <f t="shared" ref="F17:F21" si="1">B17</f>
        <v>23</v>
      </c>
    </row>
    <row r="18" spans="1:6" x14ac:dyDescent="0.3">
      <c r="A18" s="2" t="s">
        <v>26</v>
      </c>
      <c r="B18">
        <v>25</v>
      </c>
      <c r="E18" t="str">
        <f t="shared" si="0"/>
        <v>Manager</v>
      </c>
      <c r="F18">
        <f t="shared" si="1"/>
        <v>25</v>
      </c>
    </row>
    <row r="19" spans="1:6" x14ac:dyDescent="0.3">
      <c r="A19" s="2" t="s">
        <v>32</v>
      </c>
      <c r="B19">
        <v>44</v>
      </c>
      <c r="E19" t="str">
        <f t="shared" si="0"/>
        <v>Analyst</v>
      </c>
      <c r="F19">
        <v>21</v>
      </c>
    </row>
    <row r="20" spans="1:6" x14ac:dyDescent="0.3">
      <c r="A20" s="2" t="s">
        <v>42</v>
      </c>
      <c r="B20">
        <v>51</v>
      </c>
      <c r="E20" t="str">
        <f t="shared" si="0"/>
        <v>Engineer</v>
      </c>
      <c r="F20">
        <f t="shared" si="1"/>
        <v>51</v>
      </c>
    </row>
    <row r="21" spans="1:6" x14ac:dyDescent="0.3">
      <c r="A21" s="2" t="s">
        <v>37</v>
      </c>
      <c r="B21">
        <v>86</v>
      </c>
      <c r="E21" t="str">
        <f t="shared" si="0"/>
        <v>Specialist</v>
      </c>
      <c r="F21">
        <f t="shared" si="1"/>
        <v>86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0AB8-D478-415D-A1DF-4A236EB12303}">
  <sheetPr>
    <tabColor rgb="FF00B0F0"/>
  </sheetPr>
  <dimension ref="A3:F39"/>
  <sheetViews>
    <sheetView topLeftCell="A19" workbookViewId="0">
      <selection activeCell="Q32" sqref="Q32"/>
    </sheetView>
  </sheetViews>
  <sheetFormatPr defaultRowHeight="14.4" x14ac:dyDescent="0.3"/>
  <cols>
    <col min="1" max="1" width="12.44140625" bestFit="1" customWidth="1"/>
    <col min="2" max="2" width="18.33203125" bestFit="1" customWidth="1"/>
  </cols>
  <sheetData>
    <row r="3" spans="1:2" x14ac:dyDescent="0.3">
      <c r="A3" s="1" t="s">
        <v>828</v>
      </c>
      <c r="B3" t="s">
        <v>827</v>
      </c>
    </row>
    <row r="4" spans="1:2" x14ac:dyDescent="0.3">
      <c r="A4" s="2">
        <v>2</v>
      </c>
      <c r="B4">
        <v>39</v>
      </c>
    </row>
    <row r="5" spans="1:2" x14ac:dyDescent="0.3">
      <c r="A5" s="2">
        <v>3</v>
      </c>
      <c r="B5">
        <v>64</v>
      </c>
    </row>
    <row r="6" spans="1:2" x14ac:dyDescent="0.3">
      <c r="A6" s="2">
        <v>4</v>
      </c>
      <c r="B6">
        <v>101</v>
      </c>
    </row>
    <row r="7" spans="1:2" x14ac:dyDescent="0.3">
      <c r="A7" s="2">
        <v>5</v>
      </c>
      <c r="B7">
        <v>87</v>
      </c>
    </row>
    <row r="8" spans="1:2" x14ac:dyDescent="0.3">
      <c r="A8" s="2">
        <v>6</v>
      </c>
      <c r="B8">
        <v>144</v>
      </c>
    </row>
    <row r="9" spans="1:2" x14ac:dyDescent="0.3">
      <c r="A9" s="2">
        <v>7</v>
      </c>
      <c r="B9">
        <v>102</v>
      </c>
    </row>
    <row r="10" spans="1:2" x14ac:dyDescent="0.3">
      <c r="A10" s="2">
        <v>8</v>
      </c>
      <c r="B10">
        <v>100</v>
      </c>
    </row>
    <row r="11" spans="1:2" x14ac:dyDescent="0.3">
      <c r="A11" s="2">
        <v>9</v>
      </c>
      <c r="B11">
        <v>45</v>
      </c>
    </row>
    <row r="12" spans="1:2" x14ac:dyDescent="0.3">
      <c r="A12" s="2">
        <v>10</v>
      </c>
      <c r="B12">
        <v>32</v>
      </c>
    </row>
    <row r="13" spans="1:2" x14ac:dyDescent="0.3">
      <c r="A13" s="2">
        <v>11</v>
      </c>
      <c r="B13">
        <v>37</v>
      </c>
    </row>
    <row r="14" spans="1:2" x14ac:dyDescent="0.3">
      <c r="A14" s="2">
        <v>12</v>
      </c>
      <c r="B14">
        <v>12</v>
      </c>
    </row>
    <row r="15" spans="1:2" x14ac:dyDescent="0.3">
      <c r="A15" s="2">
        <v>13</v>
      </c>
      <c r="B15">
        <v>5</v>
      </c>
    </row>
    <row r="16" spans="1:2" x14ac:dyDescent="0.3">
      <c r="A16" s="2">
        <v>14</v>
      </c>
      <c r="B16">
        <v>2</v>
      </c>
    </row>
    <row r="17" spans="1:6" x14ac:dyDescent="0.3">
      <c r="A17" s="2">
        <v>15</v>
      </c>
      <c r="B17">
        <v>9</v>
      </c>
    </row>
    <row r="18" spans="1:6" x14ac:dyDescent="0.3">
      <c r="A18" s="2">
        <v>16</v>
      </c>
      <c r="B18">
        <v>1</v>
      </c>
    </row>
    <row r="19" spans="1:6" x14ac:dyDescent="0.3">
      <c r="A19" s="2" t="s">
        <v>829</v>
      </c>
      <c r="B19">
        <v>780</v>
      </c>
    </row>
    <row r="24" spans="1:6" x14ac:dyDescent="0.3">
      <c r="A24" s="1" t="s">
        <v>828</v>
      </c>
      <c r="B24" t="s">
        <v>827</v>
      </c>
    </row>
    <row r="25" spans="1:6" x14ac:dyDescent="0.3">
      <c r="A25" s="2">
        <v>2</v>
      </c>
      <c r="B25">
        <v>39</v>
      </c>
      <c r="E25">
        <f>A25</f>
        <v>2</v>
      </c>
      <c r="F25">
        <f>B25</f>
        <v>39</v>
      </c>
    </row>
    <row r="26" spans="1:6" x14ac:dyDescent="0.3">
      <c r="A26" s="2">
        <v>3</v>
      </c>
      <c r="B26">
        <v>64</v>
      </c>
      <c r="E26">
        <f t="shared" ref="E26:E39" si="0">A26</f>
        <v>3</v>
      </c>
      <c r="F26">
        <f t="shared" ref="F26:F39" si="1">B26</f>
        <v>64</v>
      </c>
    </row>
    <row r="27" spans="1:6" x14ac:dyDescent="0.3">
      <c r="A27" s="2">
        <v>4</v>
      </c>
      <c r="B27">
        <v>101</v>
      </c>
      <c r="E27">
        <f t="shared" si="0"/>
        <v>4</v>
      </c>
      <c r="F27">
        <f t="shared" si="1"/>
        <v>101</v>
      </c>
    </row>
    <row r="28" spans="1:6" x14ac:dyDescent="0.3">
      <c r="A28" s="2">
        <v>5</v>
      </c>
      <c r="B28">
        <v>87</v>
      </c>
      <c r="E28">
        <f t="shared" si="0"/>
        <v>5</v>
      </c>
      <c r="F28">
        <f t="shared" si="1"/>
        <v>87</v>
      </c>
    </row>
    <row r="29" spans="1:6" x14ac:dyDescent="0.3">
      <c r="A29" s="2">
        <v>6</v>
      </c>
      <c r="B29">
        <v>144</v>
      </c>
      <c r="E29">
        <f t="shared" si="0"/>
        <v>6</v>
      </c>
      <c r="F29">
        <f t="shared" si="1"/>
        <v>144</v>
      </c>
    </row>
    <row r="30" spans="1:6" x14ac:dyDescent="0.3">
      <c r="A30" s="2">
        <v>7</v>
      </c>
      <c r="B30">
        <v>102</v>
      </c>
      <c r="E30">
        <f t="shared" si="0"/>
        <v>7</v>
      </c>
      <c r="F30">
        <f t="shared" si="1"/>
        <v>102</v>
      </c>
    </row>
    <row r="31" spans="1:6" x14ac:dyDescent="0.3">
      <c r="A31" s="2">
        <v>8</v>
      </c>
      <c r="B31">
        <v>100</v>
      </c>
      <c r="E31">
        <f t="shared" si="0"/>
        <v>8</v>
      </c>
      <c r="F31">
        <f t="shared" si="1"/>
        <v>100</v>
      </c>
    </row>
    <row r="32" spans="1:6" x14ac:dyDescent="0.3">
      <c r="A32" s="2">
        <v>9</v>
      </c>
      <c r="B32">
        <v>45</v>
      </c>
      <c r="E32">
        <f t="shared" si="0"/>
        <v>9</v>
      </c>
      <c r="F32">
        <f t="shared" si="1"/>
        <v>45</v>
      </c>
    </row>
    <row r="33" spans="1:6" x14ac:dyDescent="0.3">
      <c r="A33" s="2">
        <v>10</v>
      </c>
      <c r="B33">
        <v>32</v>
      </c>
      <c r="E33">
        <f t="shared" si="0"/>
        <v>10</v>
      </c>
      <c r="F33">
        <f t="shared" si="1"/>
        <v>32</v>
      </c>
    </row>
    <row r="34" spans="1:6" x14ac:dyDescent="0.3">
      <c r="A34" s="2">
        <v>11</v>
      </c>
      <c r="B34">
        <v>37</v>
      </c>
      <c r="E34">
        <f t="shared" si="0"/>
        <v>11</v>
      </c>
      <c r="F34">
        <f t="shared" si="1"/>
        <v>37</v>
      </c>
    </row>
    <row r="35" spans="1:6" x14ac:dyDescent="0.3">
      <c r="A35" s="2">
        <v>12</v>
      </c>
      <c r="B35">
        <v>12</v>
      </c>
      <c r="E35">
        <f t="shared" si="0"/>
        <v>12</v>
      </c>
      <c r="F35">
        <f t="shared" si="1"/>
        <v>12</v>
      </c>
    </row>
    <row r="36" spans="1:6" x14ac:dyDescent="0.3">
      <c r="A36" s="2">
        <v>13</v>
      </c>
      <c r="B36">
        <v>5</v>
      </c>
      <c r="E36">
        <f t="shared" si="0"/>
        <v>13</v>
      </c>
      <c r="F36">
        <f t="shared" si="1"/>
        <v>5</v>
      </c>
    </row>
    <row r="37" spans="1:6" x14ac:dyDescent="0.3">
      <c r="A37" s="2">
        <v>14</v>
      </c>
      <c r="B37">
        <v>2</v>
      </c>
      <c r="E37">
        <f t="shared" si="0"/>
        <v>14</v>
      </c>
      <c r="F37">
        <f t="shared" si="1"/>
        <v>2</v>
      </c>
    </row>
    <row r="38" spans="1:6" x14ac:dyDescent="0.3">
      <c r="A38" s="2">
        <v>15</v>
      </c>
      <c r="B38">
        <v>9</v>
      </c>
      <c r="E38">
        <f t="shared" si="0"/>
        <v>15</v>
      </c>
      <c r="F38">
        <f t="shared" si="1"/>
        <v>9</v>
      </c>
    </row>
    <row r="39" spans="1:6" x14ac:dyDescent="0.3">
      <c r="A39" s="2">
        <v>16</v>
      </c>
      <c r="B39">
        <v>1</v>
      </c>
      <c r="E39">
        <f t="shared" si="0"/>
        <v>16</v>
      </c>
      <c r="F39">
        <f t="shared" si="1"/>
        <v>1</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1D4F-677B-475B-9992-70EFBD5ECC5E}">
  <sheetPr>
    <tabColor rgb="FF0070C0"/>
  </sheetPr>
  <dimension ref="A3:G20"/>
  <sheetViews>
    <sheetView workbookViewId="0">
      <selection activeCell="J7" sqref="J7"/>
    </sheetView>
  </sheetViews>
  <sheetFormatPr defaultRowHeight="14.4" x14ac:dyDescent="0.3"/>
  <cols>
    <col min="1" max="1" width="12.6640625" bestFit="1" customWidth="1"/>
    <col min="2" max="2" width="18.33203125" bestFit="1" customWidth="1"/>
  </cols>
  <sheetData>
    <row r="3" spans="1:7" x14ac:dyDescent="0.3">
      <c r="A3" s="1" t="s">
        <v>828</v>
      </c>
      <c r="B3" t="s">
        <v>827</v>
      </c>
    </row>
    <row r="4" spans="1:7" x14ac:dyDescent="0.3">
      <c r="A4" s="2">
        <v>5</v>
      </c>
      <c r="B4">
        <v>135</v>
      </c>
    </row>
    <row r="5" spans="1:7" x14ac:dyDescent="0.3">
      <c r="A5" s="2">
        <v>6</v>
      </c>
      <c r="B5">
        <v>176</v>
      </c>
    </row>
    <row r="6" spans="1:7" x14ac:dyDescent="0.3">
      <c r="A6" s="2">
        <v>7</v>
      </c>
      <c r="B6">
        <v>246</v>
      </c>
    </row>
    <row r="7" spans="1:7" x14ac:dyDescent="0.3">
      <c r="A7" s="2">
        <v>8</v>
      </c>
      <c r="B7">
        <v>158</v>
      </c>
    </row>
    <row r="8" spans="1:7" x14ac:dyDescent="0.3">
      <c r="A8" s="2">
        <v>9</v>
      </c>
      <c r="B8">
        <v>65</v>
      </c>
    </row>
    <row r="9" spans="1:7" x14ac:dyDescent="0.3">
      <c r="A9" s="2" t="s">
        <v>829</v>
      </c>
      <c r="B9">
        <v>780</v>
      </c>
    </row>
    <row r="13" spans="1:7" x14ac:dyDescent="0.3">
      <c r="A13" s="1" t="s">
        <v>836</v>
      </c>
      <c r="B13" t="s" vm="1">
        <v>39</v>
      </c>
    </row>
    <row r="15" spans="1:7" x14ac:dyDescent="0.3">
      <c r="A15" s="1" t="s">
        <v>828</v>
      </c>
      <c r="B15" t="s">
        <v>827</v>
      </c>
      <c r="G15">
        <f>MAX(F16:F20)*1.25</f>
        <v>95</v>
      </c>
    </row>
    <row r="16" spans="1:7" x14ac:dyDescent="0.3">
      <c r="A16" s="2" t="s">
        <v>38</v>
      </c>
      <c r="B16">
        <v>11</v>
      </c>
      <c r="E16" t="str">
        <f>A16</f>
        <v>Good</v>
      </c>
      <c r="F16">
        <f>B16</f>
        <v>11</v>
      </c>
      <c r="G16">
        <f>$G$15-F16</f>
        <v>84</v>
      </c>
    </row>
    <row r="17" spans="1:7" x14ac:dyDescent="0.3">
      <c r="A17" s="2" t="s">
        <v>27</v>
      </c>
      <c r="B17">
        <v>20</v>
      </c>
      <c r="E17" t="str">
        <f t="shared" ref="E17:E20" si="0">A17</f>
        <v>Above Average</v>
      </c>
      <c r="F17">
        <f t="shared" ref="F17:F20" si="1">B17</f>
        <v>20</v>
      </c>
      <c r="G17">
        <f t="shared" ref="G17:G20" si="2">$G$15-F17</f>
        <v>75</v>
      </c>
    </row>
    <row r="18" spans="1:7" x14ac:dyDescent="0.3">
      <c r="A18" s="2" t="s">
        <v>33</v>
      </c>
      <c r="B18">
        <v>57</v>
      </c>
      <c r="E18" t="str">
        <f t="shared" si="0"/>
        <v>Below Average</v>
      </c>
      <c r="F18">
        <f t="shared" si="1"/>
        <v>57</v>
      </c>
      <c r="G18">
        <f t="shared" si="2"/>
        <v>38</v>
      </c>
    </row>
    <row r="19" spans="1:7" x14ac:dyDescent="0.3">
      <c r="A19" s="2" t="s">
        <v>19</v>
      </c>
      <c r="B19">
        <v>70</v>
      </c>
      <c r="E19" t="str">
        <f t="shared" si="0"/>
        <v>Average</v>
      </c>
      <c r="F19">
        <f t="shared" si="1"/>
        <v>70</v>
      </c>
      <c r="G19">
        <f t="shared" si="2"/>
        <v>25</v>
      </c>
    </row>
    <row r="20" spans="1:7" x14ac:dyDescent="0.3">
      <c r="A20" s="2" t="s">
        <v>381</v>
      </c>
      <c r="B20">
        <v>76</v>
      </c>
      <c r="E20" t="str">
        <f t="shared" si="0"/>
        <v>Poor</v>
      </c>
      <c r="F20">
        <f t="shared" si="1"/>
        <v>76</v>
      </c>
      <c r="G20">
        <f t="shared" si="2"/>
        <v>19</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2C31-774B-4513-BF7F-D52280C9E7EB}">
  <dimension ref="A1:O781"/>
  <sheetViews>
    <sheetView workbookViewId="0">
      <selection activeCell="J11" sqref="J11"/>
    </sheetView>
  </sheetViews>
  <sheetFormatPr defaultRowHeight="14.4" x14ac:dyDescent="0.3"/>
  <cols>
    <col min="1" max="1" width="13.88671875" bestFit="1" customWidth="1"/>
    <col min="2" max="2" width="6.88671875" bestFit="1" customWidth="1"/>
    <col min="3" max="3" width="11.5546875" bestFit="1" customWidth="1"/>
    <col min="4" max="4" width="10.33203125" bestFit="1" customWidth="1"/>
    <col min="5" max="5" width="13.88671875" bestFit="1" customWidth="1"/>
    <col min="6" max="6" width="11.33203125" bestFit="1" customWidth="1"/>
    <col min="7" max="7" width="17" bestFit="1" customWidth="1"/>
    <col min="8" max="8" width="20.33203125" bestFit="1" customWidth="1"/>
    <col min="9" max="9" width="19.44140625" bestFit="1" customWidth="1"/>
    <col min="10" max="10" width="19.109375" bestFit="1" customWidth="1"/>
    <col min="11" max="11" width="18.6640625" bestFit="1" customWidth="1"/>
    <col min="12" max="12" width="9.109375" bestFit="1" customWidth="1"/>
    <col min="13" max="13" width="13.77734375" bestFit="1" customWidth="1"/>
    <col min="14" max="14" width="10.77734375" bestFit="1" customWidth="1"/>
    <col min="15" max="16" width="15.44140625" bestFit="1" customWidth="1"/>
  </cols>
  <sheetData>
    <row r="1" spans="1:15" x14ac:dyDescent="0.3">
      <c r="A1" t="s">
        <v>0</v>
      </c>
      <c r="B1" t="s">
        <v>1</v>
      </c>
      <c r="C1" t="s">
        <v>2</v>
      </c>
      <c r="D1" t="s">
        <v>3</v>
      </c>
      <c r="E1" t="s">
        <v>4</v>
      </c>
      <c r="F1" t="s">
        <v>5</v>
      </c>
      <c r="G1" t="s">
        <v>6</v>
      </c>
      <c r="H1" t="s">
        <v>7</v>
      </c>
      <c r="I1" t="s">
        <v>8</v>
      </c>
      <c r="J1" t="s">
        <v>9</v>
      </c>
      <c r="K1" t="s">
        <v>837</v>
      </c>
      <c r="L1" t="s">
        <v>10</v>
      </c>
      <c r="M1" t="s">
        <v>11</v>
      </c>
      <c r="N1" t="s">
        <v>12</v>
      </c>
      <c r="O1" t="s">
        <v>13</v>
      </c>
    </row>
    <row r="2" spans="1:15" x14ac:dyDescent="0.3">
      <c r="A2" t="s">
        <v>14</v>
      </c>
      <c r="B2">
        <v>30</v>
      </c>
      <c r="C2" t="s">
        <v>15</v>
      </c>
      <c r="D2" t="s">
        <v>16</v>
      </c>
      <c r="E2" t="s">
        <v>17</v>
      </c>
      <c r="F2" t="s">
        <v>18</v>
      </c>
      <c r="G2">
        <v>5</v>
      </c>
      <c r="H2">
        <v>7</v>
      </c>
      <c r="I2" t="s">
        <v>19</v>
      </c>
      <c r="J2">
        <v>4</v>
      </c>
      <c r="K2" t="s">
        <v>19</v>
      </c>
      <c r="L2">
        <v>45000</v>
      </c>
      <c r="M2" t="s">
        <v>20</v>
      </c>
      <c r="N2" t="s">
        <v>21</v>
      </c>
      <c r="O2">
        <v>0</v>
      </c>
    </row>
    <row r="3" spans="1:15" x14ac:dyDescent="0.3">
      <c r="A3" t="s">
        <v>22</v>
      </c>
      <c r="B3">
        <v>35</v>
      </c>
      <c r="C3" t="s">
        <v>23</v>
      </c>
      <c r="D3" t="s">
        <v>24</v>
      </c>
      <c r="E3" t="s">
        <v>25</v>
      </c>
      <c r="F3" t="s">
        <v>26</v>
      </c>
      <c r="G3">
        <v>8</v>
      </c>
      <c r="H3">
        <v>8</v>
      </c>
      <c r="I3" t="s">
        <v>27</v>
      </c>
      <c r="J3">
        <v>4.5</v>
      </c>
      <c r="K3" t="s">
        <v>28</v>
      </c>
      <c r="L3">
        <v>60000</v>
      </c>
      <c r="M3" t="s">
        <v>29</v>
      </c>
      <c r="N3" t="s">
        <v>21</v>
      </c>
      <c r="O3">
        <v>0</v>
      </c>
    </row>
    <row r="4" spans="1:15" x14ac:dyDescent="0.3">
      <c r="A4" t="s">
        <v>30</v>
      </c>
      <c r="B4">
        <v>28</v>
      </c>
      <c r="C4" t="s">
        <v>15</v>
      </c>
      <c r="D4" t="s">
        <v>16</v>
      </c>
      <c r="E4" t="s">
        <v>31</v>
      </c>
      <c r="F4" t="s">
        <v>32</v>
      </c>
      <c r="G4">
        <v>3</v>
      </c>
      <c r="H4">
        <v>6</v>
      </c>
      <c r="I4" t="s">
        <v>33</v>
      </c>
      <c r="J4">
        <v>3.8</v>
      </c>
      <c r="K4" t="s">
        <v>19</v>
      </c>
      <c r="L4">
        <v>52000</v>
      </c>
      <c r="M4" t="s">
        <v>29</v>
      </c>
      <c r="N4" t="s">
        <v>21</v>
      </c>
      <c r="O4">
        <v>0</v>
      </c>
    </row>
    <row r="5" spans="1:15" x14ac:dyDescent="0.3">
      <c r="A5" t="s">
        <v>34</v>
      </c>
      <c r="B5">
        <v>42</v>
      </c>
      <c r="C5" t="s">
        <v>35</v>
      </c>
      <c r="D5" t="s">
        <v>16</v>
      </c>
      <c r="E5" t="s">
        <v>36</v>
      </c>
      <c r="F5" t="s">
        <v>37</v>
      </c>
      <c r="G5">
        <v>12</v>
      </c>
      <c r="H5">
        <v>9</v>
      </c>
      <c r="I5" t="s">
        <v>38</v>
      </c>
      <c r="J5">
        <v>4.2</v>
      </c>
      <c r="K5" t="s">
        <v>28</v>
      </c>
      <c r="L5">
        <v>70000</v>
      </c>
      <c r="M5" t="s">
        <v>19</v>
      </c>
      <c r="N5" t="s">
        <v>39</v>
      </c>
      <c r="O5">
        <v>1</v>
      </c>
    </row>
    <row r="6" spans="1:15" x14ac:dyDescent="0.3">
      <c r="A6" t="s">
        <v>40</v>
      </c>
      <c r="B6">
        <v>29</v>
      </c>
      <c r="C6" t="s">
        <v>15</v>
      </c>
      <c r="D6" t="s">
        <v>16</v>
      </c>
      <c r="E6" t="s">
        <v>41</v>
      </c>
      <c r="F6" t="s">
        <v>42</v>
      </c>
      <c r="G6">
        <v>6</v>
      </c>
      <c r="H6">
        <v>7</v>
      </c>
      <c r="I6" t="s">
        <v>19</v>
      </c>
      <c r="J6">
        <v>4.0999999999999996</v>
      </c>
      <c r="K6" t="s">
        <v>28</v>
      </c>
      <c r="L6">
        <v>55000</v>
      </c>
      <c r="M6" t="s">
        <v>29</v>
      </c>
      <c r="N6" t="s">
        <v>21</v>
      </c>
      <c r="O6">
        <v>0</v>
      </c>
    </row>
    <row r="7" spans="1:15" x14ac:dyDescent="0.3">
      <c r="A7" t="s">
        <v>43</v>
      </c>
      <c r="B7">
        <v>40</v>
      </c>
      <c r="C7" t="s">
        <v>44</v>
      </c>
      <c r="D7" t="s">
        <v>24</v>
      </c>
      <c r="E7" t="s">
        <v>45</v>
      </c>
      <c r="F7" t="s">
        <v>46</v>
      </c>
      <c r="G7">
        <v>10</v>
      </c>
      <c r="H7">
        <v>8</v>
      </c>
      <c r="I7" t="s">
        <v>27</v>
      </c>
      <c r="J7">
        <v>4.3</v>
      </c>
      <c r="K7" t="s">
        <v>28</v>
      </c>
      <c r="L7">
        <v>65000</v>
      </c>
      <c r="M7" t="s">
        <v>19</v>
      </c>
      <c r="N7" t="s">
        <v>21</v>
      </c>
      <c r="O7">
        <v>0</v>
      </c>
    </row>
    <row r="8" spans="1:15" x14ac:dyDescent="0.3">
      <c r="A8" t="s">
        <v>47</v>
      </c>
      <c r="B8">
        <v>33</v>
      </c>
      <c r="C8" t="s">
        <v>23</v>
      </c>
      <c r="D8" t="s">
        <v>24</v>
      </c>
      <c r="E8" t="s">
        <v>25</v>
      </c>
      <c r="F8" t="s">
        <v>32</v>
      </c>
      <c r="G8">
        <v>4</v>
      </c>
      <c r="H8">
        <v>6</v>
      </c>
      <c r="I8" t="s">
        <v>33</v>
      </c>
      <c r="J8">
        <v>3.5</v>
      </c>
      <c r="K8" t="s">
        <v>48</v>
      </c>
      <c r="L8">
        <v>50000</v>
      </c>
      <c r="M8" t="s">
        <v>20</v>
      </c>
      <c r="N8" t="s">
        <v>39</v>
      </c>
      <c r="O8">
        <v>1</v>
      </c>
    </row>
    <row r="9" spans="1:15" x14ac:dyDescent="0.3">
      <c r="A9" t="s">
        <v>49</v>
      </c>
      <c r="B9">
        <v>45</v>
      </c>
      <c r="C9" t="s">
        <v>35</v>
      </c>
      <c r="D9" t="s">
        <v>24</v>
      </c>
      <c r="E9" t="s">
        <v>31</v>
      </c>
      <c r="F9" t="s">
        <v>26</v>
      </c>
      <c r="G9">
        <v>15</v>
      </c>
      <c r="H9">
        <v>9</v>
      </c>
      <c r="I9" t="s">
        <v>38</v>
      </c>
      <c r="J9">
        <v>4.8</v>
      </c>
      <c r="K9" t="s">
        <v>50</v>
      </c>
      <c r="L9">
        <v>75000</v>
      </c>
      <c r="M9" t="s">
        <v>51</v>
      </c>
      <c r="N9" t="s">
        <v>21</v>
      </c>
      <c r="O9">
        <v>0</v>
      </c>
    </row>
    <row r="10" spans="1:15" x14ac:dyDescent="0.3">
      <c r="A10" t="s">
        <v>52</v>
      </c>
      <c r="B10">
        <v>31</v>
      </c>
      <c r="C10" t="s">
        <v>23</v>
      </c>
      <c r="D10" t="s">
        <v>16</v>
      </c>
      <c r="E10" t="s">
        <v>17</v>
      </c>
      <c r="F10" t="s">
        <v>18</v>
      </c>
      <c r="G10">
        <v>7</v>
      </c>
      <c r="H10">
        <v>7</v>
      </c>
      <c r="I10" t="s">
        <v>19</v>
      </c>
      <c r="J10">
        <v>4.2</v>
      </c>
      <c r="K10" t="s">
        <v>28</v>
      </c>
      <c r="L10">
        <v>48000</v>
      </c>
      <c r="M10" t="s">
        <v>20</v>
      </c>
      <c r="N10" t="s">
        <v>21</v>
      </c>
      <c r="O10">
        <v>0</v>
      </c>
    </row>
    <row r="11" spans="1:15" x14ac:dyDescent="0.3">
      <c r="A11" t="s">
        <v>53</v>
      </c>
      <c r="B11">
        <v>37</v>
      </c>
      <c r="C11" t="s">
        <v>44</v>
      </c>
      <c r="D11" t="s">
        <v>16</v>
      </c>
      <c r="E11" t="s">
        <v>41</v>
      </c>
      <c r="F11" t="s">
        <v>42</v>
      </c>
      <c r="G11">
        <v>9</v>
      </c>
      <c r="H11">
        <v>8</v>
      </c>
      <c r="I11" t="s">
        <v>838</v>
      </c>
      <c r="J11">
        <v>4</v>
      </c>
      <c r="K11" t="s">
        <v>19</v>
      </c>
      <c r="L11">
        <v>58000</v>
      </c>
      <c r="M11" t="s">
        <v>29</v>
      </c>
      <c r="N11" t="s">
        <v>21</v>
      </c>
      <c r="O11">
        <v>0</v>
      </c>
    </row>
    <row r="12" spans="1:15" x14ac:dyDescent="0.3">
      <c r="A12" t="s">
        <v>54</v>
      </c>
      <c r="B12">
        <v>32</v>
      </c>
      <c r="C12" t="s">
        <v>23</v>
      </c>
      <c r="D12" t="s">
        <v>24</v>
      </c>
      <c r="E12" t="s">
        <v>45</v>
      </c>
      <c r="F12" t="s">
        <v>46</v>
      </c>
      <c r="G12">
        <v>6</v>
      </c>
      <c r="H12">
        <v>8</v>
      </c>
      <c r="I12" t="s">
        <v>27</v>
      </c>
      <c r="J12">
        <v>4.4000000000000004</v>
      </c>
      <c r="K12" t="s">
        <v>28</v>
      </c>
      <c r="L12">
        <v>62000</v>
      </c>
      <c r="M12" t="s">
        <v>19</v>
      </c>
      <c r="N12" t="s">
        <v>39</v>
      </c>
      <c r="O12">
        <v>1</v>
      </c>
    </row>
    <row r="13" spans="1:15" x14ac:dyDescent="0.3">
      <c r="A13" t="s">
        <v>55</v>
      </c>
      <c r="B13">
        <v>34</v>
      </c>
      <c r="C13" t="s">
        <v>23</v>
      </c>
      <c r="D13" t="s">
        <v>16</v>
      </c>
      <c r="E13" t="s">
        <v>31</v>
      </c>
      <c r="F13" t="s">
        <v>32</v>
      </c>
      <c r="G13">
        <v>5</v>
      </c>
      <c r="H13">
        <v>7</v>
      </c>
      <c r="I13" t="s">
        <v>19</v>
      </c>
      <c r="J13">
        <v>3.7</v>
      </c>
      <c r="K13" t="s">
        <v>19</v>
      </c>
      <c r="L13">
        <v>53000</v>
      </c>
      <c r="M13" t="s">
        <v>29</v>
      </c>
      <c r="N13" t="s">
        <v>21</v>
      </c>
      <c r="O13">
        <v>0</v>
      </c>
    </row>
    <row r="14" spans="1:15" x14ac:dyDescent="0.3">
      <c r="A14" t="s">
        <v>56</v>
      </c>
      <c r="B14">
        <v>39</v>
      </c>
      <c r="C14" t="s">
        <v>44</v>
      </c>
      <c r="D14" t="s">
        <v>16</v>
      </c>
      <c r="E14" t="s">
        <v>36</v>
      </c>
      <c r="F14" t="s">
        <v>37</v>
      </c>
      <c r="G14">
        <v>11</v>
      </c>
      <c r="H14">
        <v>9</v>
      </c>
      <c r="I14" t="s">
        <v>38</v>
      </c>
      <c r="J14">
        <v>4</v>
      </c>
      <c r="K14" t="s">
        <v>19</v>
      </c>
      <c r="L14">
        <v>68000</v>
      </c>
      <c r="M14" t="s">
        <v>19</v>
      </c>
      <c r="N14" t="s">
        <v>21</v>
      </c>
      <c r="O14">
        <v>0</v>
      </c>
    </row>
    <row r="15" spans="1:15" x14ac:dyDescent="0.3">
      <c r="A15" t="s">
        <v>57</v>
      </c>
      <c r="B15">
        <v>27</v>
      </c>
      <c r="C15" t="s">
        <v>15</v>
      </c>
      <c r="D15" t="s">
        <v>16</v>
      </c>
      <c r="E15" t="s">
        <v>17</v>
      </c>
      <c r="F15" t="s">
        <v>18</v>
      </c>
      <c r="G15">
        <v>2</v>
      </c>
      <c r="H15">
        <v>6</v>
      </c>
      <c r="I15" t="s">
        <v>33</v>
      </c>
      <c r="J15">
        <v>3.9</v>
      </c>
      <c r="K15" t="s">
        <v>19</v>
      </c>
      <c r="L15">
        <v>46000</v>
      </c>
      <c r="M15" t="s">
        <v>20</v>
      </c>
      <c r="N15" t="s">
        <v>21</v>
      </c>
      <c r="O15">
        <v>0</v>
      </c>
    </row>
    <row r="16" spans="1:15" x14ac:dyDescent="0.3">
      <c r="A16" t="s">
        <v>58</v>
      </c>
      <c r="B16">
        <v>43</v>
      </c>
      <c r="C16" t="s">
        <v>35</v>
      </c>
      <c r="D16" t="s">
        <v>24</v>
      </c>
      <c r="E16" t="s">
        <v>41</v>
      </c>
      <c r="F16" t="s">
        <v>42</v>
      </c>
      <c r="G16">
        <v>13</v>
      </c>
      <c r="H16">
        <v>8</v>
      </c>
      <c r="I16" t="s">
        <v>27</v>
      </c>
      <c r="J16">
        <v>4.2</v>
      </c>
      <c r="K16" t="s">
        <v>28</v>
      </c>
      <c r="L16">
        <v>70000</v>
      </c>
      <c r="M16" t="s">
        <v>19</v>
      </c>
      <c r="N16" t="s">
        <v>39</v>
      </c>
      <c r="O16">
        <v>1</v>
      </c>
    </row>
    <row r="17" spans="1:15" x14ac:dyDescent="0.3">
      <c r="A17" t="s">
        <v>59</v>
      </c>
      <c r="B17">
        <v>36</v>
      </c>
      <c r="C17" t="s">
        <v>44</v>
      </c>
      <c r="D17" t="s">
        <v>16</v>
      </c>
      <c r="E17" t="s">
        <v>25</v>
      </c>
      <c r="F17" t="s">
        <v>26</v>
      </c>
      <c r="G17">
        <v>7</v>
      </c>
      <c r="H17">
        <v>7</v>
      </c>
      <c r="I17" t="s">
        <v>19</v>
      </c>
      <c r="J17">
        <v>4.5999999999999996</v>
      </c>
      <c r="K17" t="s">
        <v>50</v>
      </c>
      <c r="L17">
        <v>64000</v>
      </c>
      <c r="M17" t="s">
        <v>19</v>
      </c>
      <c r="N17" t="s">
        <v>21</v>
      </c>
      <c r="O17">
        <v>0</v>
      </c>
    </row>
    <row r="18" spans="1:15" x14ac:dyDescent="0.3">
      <c r="A18" t="s">
        <v>60</v>
      </c>
      <c r="B18">
        <v>29</v>
      </c>
      <c r="C18" t="s">
        <v>15</v>
      </c>
      <c r="D18" t="s">
        <v>24</v>
      </c>
      <c r="E18" t="s">
        <v>31</v>
      </c>
      <c r="F18" t="s">
        <v>32</v>
      </c>
      <c r="G18">
        <v>4</v>
      </c>
      <c r="H18">
        <v>6</v>
      </c>
      <c r="I18" t="s">
        <v>33</v>
      </c>
      <c r="J18">
        <v>3.4</v>
      </c>
      <c r="K18" t="s">
        <v>48</v>
      </c>
      <c r="L18">
        <v>51000</v>
      </c>
      <c r="M18" t="s">
        <v>29</v>
      </c>
      <c r="N18" t="s">
        <v>21</v>
      </c>
      <c r="O18">
        <v>0</v>
      </c>
    </row>
    <row r="19" spans="1:15" x14ac:dyDescent="0.3">
      <c r="A19" t="s">
        <v>61</v>
      </c>
      <c r="B19">
        <v>38</v>
      </c>
      <c r="C19" t="s">
        <v>44</v>
      </c>
      <c r="D19" t="s">
        <v>24</v>
      </c>
      <c r="E19" t="s">
        <v>36</v>
      </c>
      <c r="F19" t="s">
        <v>37</v>
      </c>
      <c r="G19">
        <v>9</v>
      </c>
      <c r="H19">
        <v>8</v>
      </c>
      <c r="I19" t="s">
        <v>27</v>
      </c>
      <c r="J19">
        <v>4.0999999999999996</v>
      </c>
      <c r="K19" t="s">
        <v>28</v>
      </c>
      <c r="L19">
        <v>67000</v>
      </c>
      <c r="M19" t="s">
        <v>19</v>
      </c>
      <c r="N19" t="s">
        <v>39</v>
      </c>
      <c r="O19">
        <v>1</v>
      </c>
    </row>
    <row r="20" spans="1:15" x14ac:dyDescent="0.3">
      <c r="A20" t="s">
        <v>62</v>
      </c>
      <c r="B20">
        <v>30</v>
      </c>
      <c r="C20" t="s">
        <v>15</v>
      </c>
      <c r="D20" t="s">
        <v>16</v>
      </c>
      <c r="E20" t="s">
        <v>17</v>
      </c>
      <c r="F20" t="s">
        <v>18</v>
      </c>
      <c r="G20">
        <v>6</v>
      </c>
      <c r="H20">
        <v>7</v>
      </c>
      <c r="I20" t="s">
        <v>19</v>
      </c>
      <c r="J20">
        <v>3.8</v>
      </c>
      <c r="K20" t="s">
        <v>19</v>
      </c>
      <c r="L20">
        <v>49000</v>
      </c>
      <c r="M20" t="s">
        <v>20</v>
      </c>
      <c r="N20" t="s">
        <v>21</v>
      </c>
      <c r="O20">
        <v>0</v>
      </c>
    </row>
    <row r="21" spans="1:15" x14ac:dyDescent="0.3">
      <c r="A21" t="s">
        <v>63</v>
      </c>
      <c r="B21">
        <v>41</v>
      </c>
      <c r="C21" t="s">
        <v>35</v>
      </c>
      <c r="D21" t="s">
        <v>16</v>
      </c>
      <c r="E21" t="s">
        <v>41</v>
      </c>
      <c r="F21" t="s">
        <v>42</v>
      </c>
      <c r="G21">
        <v>10</v>
      </c>
      <c r="H21">
        <v>8</v>
      </c>
      <c r="I21" t="s">
        <v>27</v>
      </c>
      <c r="J21">
        <v>4.3</v>
      </c>
      <c r="K21" t="s">
        <v>28</v>
      </c>
      <c r="L21">
        <v>66000</v>
      </c>
      <c r="M21" t="s">
        <v>19</v>
      </c>
      <c r="N21" t="s">
        <v>21</v>
      </c>
      <c r="O21">
        <v>0</v>
      </c>
    </row>
    <row r="22" spans="1:15" x14ac:dyDescent="0.3">
      <c r="A22" t="s">
        <v>64</v>
      </c>
      <c r="B22">
        <v>44</v>
      </c>
      <c r="C22" t="s">
        <v>35</v>
      </c>
      <c r="D22" t="s">
        <v>16</v>
      </c>
      <c r="E22" t="s">
        <v>31</v>
      </c>
      <c r="F22" t="s">
        <v>26</v>
      </c>
      <c r="G22">
        <v>11</v>
      </c>
      <c r="H22">
        <v>9</v>
      </c>
      <c r="I22" t="s">
        <v>38</v>
      </c>
      <c r="J22">
        <v>4.5</v>
      </c>
      <c r="K22" t="s">
        <v>28</v>
      </c>
      <c r="L22">
        <v>72000</v>
      </c>
      <c r="M22" t="s">
        <v>51</v>
      </c>
      <c r="N22" t="s">
        <v>21</v>
      </c>
      <c r="O22">
        <v>0</v>
      </c>
    </row>
    <row r="23" spans="1:15" x14ac:dyDescent="0.3">
      <c r="A23" t="s">
        <v>65</v>
      </c>
      <c r="B23">
        <v>26</v>
      </c>
      <c r="C23" t="s">
        <v>15</v>
      </c>
      <c r="D23" t="s">
        <v>24</v>
      </c>
      <c r="E23" t="s">
        <v>45</v>
      </c>
      <c r="F23" t="s">
        <v>46</v>
      </c>
      <c r="G23">
        <v>3</v>
      </c>
      <c r="H23">
        <v>7</v>
      </c>
      <c r="I23" t="s">
        <v>19</v>
      </c>
      <c r="J23">
        <v>3</v>
      </c>
      <c r="K23" t="s">
        <v>66</v>
      </c>
      <c r="L23">
        <v>46000</v>
      </c>
      <c r="M23" t="s">
        <v>20</v>
      </c>
      <c r="N23" t="s">
        <v>39</v>
      </c>
      <c r="O23">
        <v>1</v>
      </c>
    </row>
    <row r="24" spans="1:15" x14ac:dyDescent="0.3">
      <c r="A24" t="s">
        <v>67</v>
      </c>
      <c r="B24">
        <v>32</v>
      </c>
      <c r="C24" t="s">
        <v>23</v>
      </c>
      <c r="D24" t="s">
        <v>16</v>
      </c>
      <c r="E24" t="s">
        <v>41</v>
      </c>
      <c r="F24" t="s">
        <v>42</v>
      </c>
      <c r="G24">
        <v>7</v>
      </c>
      <c r="H24">
        <v>8</v>
      </c>
      <c r="I24" t="s">
        <v>27</v>
      </c>
      <c r="J24">
        <v>3.5</v>
      </c>
      <c r="K24" t="s">
        <v>48</v>
      </c>
      <c r="L24">
        <v>57000</v>
      </c>
      <c r="M24" t="s">
        <v>29</v>
      </c>
      <c r="N24" t="s">
        <v>21</v>
      </c>
      <c r="O24">
        <v>0</v>
      </c>
    </row>
    <row r="25" spans="1:15" x14ac:dyDescent="0.3">
      <c r="A25" t="s">
        <v>68</v>
      </c>
      <c r="B25">
        <v>36</v>
      </c>
      <c r="C25" t="s">
        <v>44</v>
      </c>
      <c r="D25" t="s">
        <v>16</v>
      </c>
      <c r="E25" t="s">
        <v>17</v>
      </c>
      <c r="F25" t="s">
        <v>18</v>
      </c>
      <c r="G25">
        <v>6</v>
      </c>
      <c r="H25">
        <v>7</v>
      </c>
      <c r="I25" t="s">
        <v>19</v>
      </c>
      <c r="J25">
        <v>3.7</v>
      </c>
      <c r="K25" t="s">
        <v>19</v>
      </c>
      <c r="L25">
        <v>48000</v>
      </c>
      <c r="M25" t="s">
        <v>20</v>
      </c>
      <c r="N25" t="s">
        <v>21</v>
      </c>
      <c r="O25">
        <v>0</v>
      </c>
    </row>
    <row r="26" spans="1:15" x14ac:dyDescent="0.3">
      <c r="A26" t="s">
        <v>69</v>
      </c>
      <c r="B26">
        <v>30</v>
      </c>
      <c r="C26" t="s">
        <v>15</v>
      </c>
      <c r="D26" t="s">
        <v>16</v>
      </c>
      <c r="E26" t="s">
        <v>25</v>
      </c>
      <c r="F26" t="s">
        <v>26</v>
      </c>
      <c r="G26">
        <v>8</v>
      </c>
      <c r="H26">
        <v>8</v>
      </c>
      <c r="I26" t="s">
        <v>27</v>
      </c>
      <c r="J26">
        <v>4</v>
      </c>
      <c r="K26" t="s">
        <v>19</v>
      </c>
      <c r="L26">
        <v>55000</v>
      </c>
      <c r="M26" t="s">
        <v>29</v>
      </c>
      <c r="N26" t="s">
        <v>21</v>
      </c>
      <c r="O26">
        <v>0</v>
      </c>
    </row>
    <row r="27" spans="1:15" x14ac:dyDescent="0.3">
      <c r="A27" t="s">
        <v>70</v>
      </c>
      <c r="B27">
        <v>35</v>
      </c>
      <c r="C27" t="s">
        <v>23</v>
      </c>
      <c r="D27" t="s">
        <v>16</v>
      </c>
      <c r="E27" t="s">
        <v>31</v>
      </c>
      <c r="F27" t="s">
        <v>32</v>
      </c>
      <c r="G27">
        <v>7</v>
      </c>
      <c r="H27">
        <v>7</v>
      </c>
      <c r="I27" t="s">
        <v>19</v>
      </c>
      <c r="J27">
        <v>3.9</v>
      </c>
      <c r="K27" t="s">
        <v>19</v>
      </c>
      <c r="L27">
        <v>58000</v>
      </c>
      <c r="M27" t="s">
        <v>29</v>
      </c>
      <c r="N27" t="s">
        <v>21</v>
      </c>
      <c r="O27">
        <v>0</v>
      </c>
    </row>
    <row r="28" spans="1:15" x14ac:dyDescent="0.3">
      <c r="A28" t="s">
        <v>71</v>
      </c>
      <c r="B28">
        <v>31</v>
      </c>
      <c r="C28" t="s">
        <v>23</v>
      </c>
      <c r="D28" t="s">
        <v>24</v>
      </c>
      <c r="E28" t="s">
        <v>36</v>
      </c>
      <c r="F28" t="s">
        <v>37</v>
      </c>
      <c r="G28">
        <v>5</v>
      </c>
      <c r="H28">
        <v>6</v>
      </c>
      <c r="I28" t="s">
        <v>33</v>
      </c>
      <c r="J28">
        <v>3.2</v>
      </c>
      <c r="K28" t="s">
        <v>48</v>
      </c>
      <c r="L28">
        <v>51000</v>
      </c>
      <c r="M28" t="s">
        <v>29</v>
      </c>
      <c r="N28" t="s">
        <v>21</v>
      </c>
      <c r="O28">
        <v>0</v>
      </c>
    </row>
    <row r="29" spans="1:15" x14ac:dyDescent="0.3">
      <c r="A29" t="s">
        <v>72</v>
      </c>
      <c r="B29">
        <v>38</v>
      </c>
      <c r="C29" t="s">
        <v>44</v>
      </c>
      <c r="D29" t="s">
        <v>16</v>
      </c>
      <c r="E29" t="s">
        <v>17</v>
      </c>
      <c r="F29" t="s">
        <v>18</v>
      </c>
      <c r="G29">
        <v>9</v>
      </c>
      <c r="H29">
        <v>8</v>
      </c>
      <c r="I29" t="s">
        <v>27</v>
      </c>
      <c r="J29">
        <v>4.2</v>
      </c>
      <c r="K29" t="s">
        <v>28</v>
      </c>
      <c r="L29">
        <v>54000</v>
      </c>
      <c r="M29" t="s">
        <v>29</v>
      </c>
      <c r="N29" t="s">
        <v>21</v>
      </c>
      <c r="O29">
        <v>0</v>
      </c>
    </row>
    <row r="30" spans="1:15" x14ac:dyDescent="0.3">
      <c r="A30" t="s">
        <v>73</v>
      </c>
      <c r="B30">
        <v>33</v>
      </c>
      <c r="C30" t="s">
        <v>23</v>
      </c>
      <c r="D30" t="s">
        <v>16</v>
      </c>
      <c r="E30" t="s">
        <v>41</v>
      </c>
      <c r="F30" t="s">
        <v>42</v>
      </c>
      <c r="G30">
        <v>8</v>
      </c>
      <c r="H30">
        <v>7</v>
      </c>
      <c r="I30" t="s">
        <v>19</v>
      </c>
      <c r="J30">
        <v>4.0999999999999996</v>
      </c>
      <c r="K30" t="s">
        <v>28</v>
      </c>
      <c r="L30">
        <v>57000</v>
      </c>
      <c r="M30" t="s">
        <v>29</v>
      </c>
      <c r="N30" t="s">
        <v>21</v>
      </c>
      <c r="O30">
        <v>0</v>
      </c>
    </row>
    <row r="31" spans="1:15" x14ac:dyDescent="0.3">
      <c r="A31" t="s">
        <v>74</v>
      </c>
      <c r="B31">
        <v>46</v>
      </c>
      <c r="C31" t="s">
        <v>75</v>
      </c>
      <c r="D31" t="s">
        <v>16</v>
      </c>
      <c r="E31" t="s">
        <v>45</v>
      </c>
      <c r="F31" t="s">
        <v>46</v>
      </c>
      <c r="G31">
        <v>12</v>
      </c>
      <c r="H31">
        <v>8</v>
      </c>
      <c r="I31" t="s">
        <v>27</v>
      </c>
      <c r="J31">
        <v>4.5</v>
      </c>
      <c r="K31" t="s">
        <v>28</v>
      </c>
      <c r="L31">
        <v>72000</v>
      </c>
      <c r="M31" t="s">
        <v>51</v>
      </c>
      <c r="N31" t="s">
        <v>39</v>
      </c>
      <c r="O31">
        <v>1</v>
      </c>
    </row>
    <row r="32" spans="1:15" x14ac:dyDescent="0.3">
      <c r="A32" t="s">
        <v>76</v>
      </c>
      <c r="B32">
        <v>29</v>
      </c>
      <c r="C32" t="s">
        <v>15</v>
      </c>
      <c r="D32" t="s">
        <v>24</v>
      </c>
      <c r="E32" t="s">
        <v>25</v>
      </c>
      <c r="F32" t="s">
        <v>32</v>
      </c>
      <c r="G32">
        <v>4</v>
      </c>
      <c r="H32">
        <v>6</v>
      </c>
      <c r="I32" t="s">
        <v>33</v>
      </c>
      <c r="J32">
        <v>3.3</v>
      </c>
      <c r="K32" t="s">
        <v>48</v>
      </c>
      <c r="L32">
        <v>49000</v>
      </c>
      <c r="M32" t="s">
        <v>20</v>
      </c>
      <c r="N32" t="s">
        <v>21</v>
      </c>
      <c r="O32">
        <v>0</v>
      </c>
    </row>
    <row r="33" spans="1:15" x14ac:dyDescent="0.3">
      <c r="A33" t="s">
        <v>77</v>
      </c>
      <c r="B33">
        <v>40</v>
      </c>
      <c r="C33" t="s">
        <v>44</v>
      </c>
      <c r="D33" t="s">
        <v>16</v>
      </c>
      <c r="E33" t="s">
        <v>31</v>
      </c>
      <c r="F33" t="s">
        <v>26</v>
      </c>
      <c r="G33">
        <v>10</v>
      </c>
      <c r="H33">
        <v>8</v>
      </c>
      <c r="I33" t="s">
        <v>27</v>
      </c>
      <c r="J33">
        <v>4.3</v>
      </c>
      <c r="K33" t="s">
        <v>28</v>
      </c>
      <c r="L33">
        <v>66000</v>
      </c>
      <c r="M33" t="s">
        <v>19</v>
      </c>
      <c r="N33" t="s">
        <v>21</v>
      </c>
      <c r="O33">
        <v>0</v>
      </c>
    </row>
    <row r="34" spans="1:15" x14ac:dyDescent="0.3">
      <c r="A34" t="s">
        <v>78</v>
      </c>
      <c r="B34">
        <v>37</v>
      </c>
      <c r="C34" t="s">
        <v>44</v>
      </c>
      <c r="D34" t="s">
        <v>24</v>
      </c>
      <c r="E34" t="s">
        <v>17</v>
      </c>
      <c r="F34" t="s">
        <v>18</v>
      </c>
      <c r="G34">
        <v>6</v>
      </c>
      <c r="H34">
        <v>7</v>
      </c>
      <c r="I34" t="s">
        <v>19</v>
      </c>
      <c r="J34">
        <v>4</v>
      </c>
      <c r="K34" t="s">
        <v>19</v>
      </c>
      <c r="L34">
        <v>52000</v>
      </c>
      <c r="M34" t="s">
        <v>29</v>
      </c>
      <c r="N34" t="s">
        <v>21</v>
      </c>
      <c r="O34">
        <v>0</v>
      </c>
    </row>
    <row r="35" spans="1:15" x14ac:dyDescent="0.3">
      <c r="A35" t="s">
        <v>79</v>
      </c>
      <c r="B35">
        <v>32</v>
      </c>
      <c r="C35" t="s">
        <v>23</v>
      </c>
      <c r="D35" t="s">
        <v>16</v>
      </c>
      <c r="E35" t="s">
        <v>36</v>
      </c>
      <c r="F35" t="s">
        <v>37</v>
      </c>
      <c r="G35">
        <v>5</v>
      </c>
      <c r="H35">
        <v>6</v>
      </c>
      <c r="I35" t="s">
        <v>33</v>
      </c>
      <c r="J35">
        <v>3.6</v>
      </c>
      <c r="K35" t="s">
        <v>19</v>
      </c>
      <c r="L35">
        <v>55000</v>
      </c>
      <c r="M35" t="s">
        <v>29</v>
      </c>
      <c r="N35" t="s">
        <v>21</v>
      </c>
      <c r="O35">
        <v>0</v>
      </c>
    </row>
    <row r="36" spans="1:15" x14ac:dyDescent="0.3">
      <c r="A36" t="s">
        <v>80</v>
      </c>
      <c r="B36">
        <v>41</v>
      </c>
      <c r="C36" t="s">
        <v>35</v>
      </c>
      <c r="D36" t="s">
        <v>16</v>
      </c>
      <c r="E36" t="s">
        <v>41</v>
      </c>
      <c r="F36" t="s">
        <v>42</v>
      </c>
      <c r="G36">
        <v>9</v>
      </c>
      <c r="H36">
        <v>8</v>
      </c>
      <c r="I36" t="s">
        <v>27</v>
      </c>
      <c r="J36">
        <v>4.4000000000000004</v>
      </c>
      <c r="K36" t="s">
        <v>28</v>
      </c>
      <c r="L36">
        <v>59000</v>
      </c>
      <c r="M36" t="s">
        <v>29</v>
      </c>
      <c r="N36" t="s">
        <v>21</v>
      </c>
      <c r="O36">
        <v>0</v>
      </c>
    </row>
    <row r="37" spans="1:15" x14ac:dyDescent="0.3">
      <c r="A37" t="s">
        <v>81</v>
      </c>
      <c r="B37">
        <v>31</v>
      </c>
      <c r="C37" t="s">
        <v>23</v>
      </c>
      <c r="D37" t="s">
        <v>16</v>
      </c>
      <c r="E37" t="s">
        <v>25</v>
      </c>
      <c r="F37" t="s">
        <v>26</v>
      </c>
      <c r="G37">
        <v>7</v>
      </c>
      <c r="H37">
        <v>7</v>
      </c>
      <c r="I37" t="s">
        <v>19</v>
      </c>
      <c r="J37">
        <v>4.2</v>
      </c>
      <c r="K37" t="s">
        <v>28</v>
      </c>
      <c r="L37">
        <v>56000</v>
      </c>
      <c r="M37" t="s">
        <v>29</v>
      </c>
      <c r="N37" t="s">
        <v>21</v>
      </c>
      <c r="O37">
        <v>0</v>
      </c>
    </row>
    <row r="38" spans="1:15" x14ac:dyDescent="0.3">
      <c r="A38" t="s">
        <v>82</v>
      </c>
      <c r="B38">
        <v>43</v>
      </c>
      <c r="C38" t="s">
        <v>35</v>
      </c>
      <c r="D38" t="s">
        <v>24</v>
      </c>
      <c r="E38" t="s">
        <v>31</v>
      </c>
      <c r="F38" t="s">
        <v>32</v>
      </c>
      <c r="G38">
        <v>11</v>
      </c>
      <c r="H38">
        <v>9</v>
      </c>
      <c r="I38" t="s">
        <v>38</v>
      </c>
      <c r="J38">
        <v>4.5999999999999996</v>
      </c>
      <c r="K38" t="s">
        <v>50</v>
      </c>
      <c r="L38">
        <v>71000</v>
      </c>
      <c r="M38" t="s">
        <v>51</v>
      </c>
      <c r="N38" t="s">
        <v>39</v>
      </c>
      <c r="O38">
        <v>1</v>
      </c>
    </row>
    <row r="39" spans="1:15" x14ac:dyDescent="0.3">
      <c r="A39" t="s">
        <v>83</v>
      </c>
      <c r="B39">
        <v>28</v>
      </c>
      <c r="C39" t="s">
        <v>15</v>
      </c>
      <c r="D39" t="s">
        <v>16</v>
      </c>
      <c r="E39" t="s">
        <v>45</v>
      </c>
      <c r="F39" t="s">
        <v>46</v>
      </c>
      <c r="G39">
        <v>4</v>
      </c>
      <c r="H39">
        <v>6</v>
      </c>
      <c r="I39" t="s">
        <v>33</v>
      </c>
      <c r="J39">
        <v>3.7</v>
      </c>
      <c r="K39" t="s">
        <v>19</v>
      </c>
      <c r="L39">
        <v>50000</v>
      </c>
      <c r="M39" t="s">
        <v>20</v>
      </c>
      <c r="N39" t="s">
        <v>21</v>
      </c>
      <c r="O39">
        <v>0</v>
      </c>
    </row>
    <row r="40" spans="1:15" x14ac:dyDescent="0.3">
      <c r="A40" t="s">
        <v>84</v>
      </c>
      <c r="B40">
        <v>34</v>
      </c>
      <c r="C40" t="s">
        <v>23</v>
      </c>
      <c r="D40" t="s">
        <v>16</v>
      </c>
      <c r="E40" t="s">
        <v>17</v>
      </c>
      <c r="F40" t="s">
        <v>18</v>
      </c>
      <c r="G40">
        <v>6</v>
      </c>
      <c r="H40">
        <v>7</v>
      </c>
      <c r="I40" t="s">
        <v>19</v>
      </c>
      <c r="J40">
        <v>3.9</v>
      </c>
      <c r="K40" t="s">
        <v>19</v>
      </c>
      <c r="L40">
        <v>53000</v>
      </c>
      <c r="M40" t="s">
        <v>29</v>
      </c>
      <c r="N40" t="s">
        <v>21</v>
      </c>
      <c r="O40">
        <v>0</v>
      </c>
    </row>
    <row r="41" spans="1:15" x14ac:dyDescent="0.3">
      <c r="A41" t="s">
        <v>85</v>
      </c>
      <c r="B41">
        <v>27</v>
      </c>
      <c r="C41" t="s">
        <v>15</v>
      </c>
      <c r="D41" t="s">
        <v>16</v>
      </c>
      <c r="E41" t="s">
        <v>41</v>
      </c>
      <c r="F41" t="s">
        <v>42</v>
      </c>
      <c r="G41">
        <v>3</v>
      </c>
      <c r="H41">
        <v>6</v>
      </c>
      <c r="I41" t="s">
        <v>33</v>
      </c>
      <c r="J41">
        <v>3.3</v>
      </c>
      <c r="K41" t="s">
        <v>48</v>
      </c>
      <c r="L41">
        <v>47000</v>
      </c>
      <c r="M41" t="s">
        <v>20</v>
      </c>
      <c r="N41" t="s">
        <v>21</v>
      </c>
      <c r="O41">
        <v>0</v>
      </c>
    </row>
    <row r="42" spans="1:15" x14ac:dyDescent="0.3">
      <c r="A42" t="s">
        <v>86</v>
      </c>
      <c r="B42">
        <v>38</v>
      </c>
      <c r="C42" t="s">
        <v>44</v>
      </c>
      <c r="D42" t="s">
        <v>24</v>
      </c>
      <c r="E42" t="s">
        <v>36</v>
      </c>
      <c r="F42" t="s">
        <v>37</v>
      </c>
      <c r="G42">
        <v>8</v>
      </c>
      <c r="H42">
        <v>8</v>
      </c>
      <c r="I42" t="s">
        <v>27</v>
      </c>
      <c r="J42">
        <v>4.0999999999999996</v>
      </c>
      <c r="K42" t="s">
        <v>28</v>
      </c>
      <c r="L42">
        <v>58000</v>
      </c>
      <c r="M42" t="s">
        <v>29</v>
      </c>
      <c r="N42" t="s">
        <v>21</v>
      </c>
      <c r="O42">
        <v>0</v>
      </c>
    </row>
    <row r="43" spans="1:15" x14ac:dyDescent="0.3">
      <c r="A43" t="s">
        <v>87</v>
      </c>
      <c r="B43">
        <v>35</v>
      </c>
      <c r="C43" t="s">
        <v>23</v>
      </c>
      <c r="D43" t="s">
        <v>16</v>
      </c>
      <c r="E43" t="s">
        <v>31</v>
      </c>
      <c r="F43" t="s">
        <v>26</v>
      </c>
      <c r="G43">
        <v>9</v>
      </c>
      <c r="H43">
        <v>8</v>
      </c>
      <c r="I43" t="s">
        <v>27</v>
      </c>
      <c r="J43">
        <v>4.4000000000000004</v>
      </c>
      <c r="K43" t="s">
        <v>28</v>
      </c>
      <c r="L43">
        <v>64000</v>
      </c>
      <c r="M43" t="s">
        <v>19</v>
      </c>
      <c r="N43" t="s">
        <v>21</v>
      </c>
      <c r="O43">
        <v>0</v>
      </c>
    </row>
    <row r="44" spans="1:15" x14ac:dyDescent="0.3">
      <c r="A44" t="s">
        <v>88</v>
      </c>
      <c r="B44">
        <v>36</v>
      </c>
      <c r="C44" t="s">
        <v>44</v>
      </c>
      <c r="D44" t="s">
        <v>16</v>
      </c>
      <c r="E44" t="s">
        <v>17</v>
      </c>
      <c r="F44" t="s">
        <v>18</v>
      </c>
      <c r="G44">
        <v>7</v>
      </c>
      <c r="H44">
        <v>7</v>
      </c>
      <c r="I44" t="s">
        <v>19</v>
      </c>
      <c r="J44">
        <v>4</v>
      </c>
      <c r="K44" t="s">
        <v>19</v>
      </c>
      <c r="L44">
        <v>52000</v>
      </c>
      <c r="M44" t="s">
        <v>29</v>
      </c>
      <c r="N44" t="s">
        <v>21</v>
      </c>
      <c r="O44">
        <v>0</v>
      </c>
    </row>
    <row r="45" spans="1:15" x14ac:dyDescent="0.3">
      <c r="A45" t="s">
        <v>89</v>
      </c>
      <c r="B45">
        <v>39</v>
      </c>
      <c r="C45" t="s">
        <v>44</v>
      </c>
      <c r="D45" t="s">
        <v>16</v>
      </c>
      <c r="E45" t="s">
        <v>41</v>
      </c>
      <c r="F45" t="s">
        <v>42</v>
      </c>
      <c r="G45">
        <v>10</v>
      </c>
      <c r="H45">
        <v>8</v>
      </c>
      <c r="I45" t="s">
        <v>27</v>
      </c>
      <c r="J45">
        <v>4.3</v>
      </c>
      <c r="K45" t="s">
        <v>28</v>
      </c>
      <c r="L45">
        <v>59000</v>
      </c>
      <c r="M45" t="s">
        <v>29</v>
      </c>
      <c r="N45" t="s">
        <v>21</v>
      </c>
      <c r="O45">
        <v>0</v>
      </c>
    </row>
    <row r="46" spans="1:15" x14ac:dyDescent="0.3">
      <c r="A46" t="s">
        <v>90</v>
      </c>
      <c r="B46">
        <v>32</v>
      </c>
      <c r="C46" t="s">
        <v>23</v>
      </c>
      <c r="D46" t="s">
        <v>24</v>
      </c>
      <c r="E46" t="s">
        <v>25</v>
      </c>
      <c r="F46" t="s">
        <v>26</v>
      </c>
      <c r="G46">
        <v>6</v>
      </c>
      <c r="H46">
        <v>7</v>
      </c>
      <c r="I46" t="s">
        <v>19</v>
      </c>
      <c r="J46">
        <v>3.5</v>
      </c>
      <c r="K46" t="s">
        <v>48</v>
      </c>
      <c r="L46">
        <v>51000</v>
      </c>
      <c r="M46" t="s">
        <v>29</v>
      </c>
      <c r="N46" t="s">
        <v>21</v>
      </c>
      <c r="O46">
        <v>0</v>
      </c>
    </row>
    <row r="47" spans="1:15" x14ac:dyDescent="0.3">
      <c r="A47" t="s">
        <v>91</v>
      </c>
      <c r="B47">
        <v>30</v>
      </c>
      <c r="C47" t="s">
        <v>15</v>
      </c>
      <c r="D47" t="s">
        <v>16</v>
      </c>
      <c r="E47" t="s">
        <v>45</v>
      </c>
      <c r="F47" t="s">
        <v>46</v>
      </c>
      <c r="G47">
        <v>5</v>
      </c>
      <c r="H47">
        <v>6</v>
      </c>
      <c r="I47" t="s">
        <v>33</v>
      </c>
      <c r="J47">
        <v>3.8</v>
      </c>
      <c r="K47" t="s">
        <v>19</v>
      </c>
      <c r="L47">
        <v>54000</v>
      </c>
      <c r="M47" t="s">
        <v>29</v>
      </c>
      <c r="N47" t="s">
        <v>21</v>
      </c>
      <c r="O47">
        <v>0</v>
      </c>
    </row>
    <row r="48" spans="1:15" x14ac:dyDescent="0.3">
      <c r="A48" t="s">
        <v>92</v>
      </c>
      <c r="B48">
        <v>44</v>
      </c>
      <c r="C48" t="s">
        <v>35</v>
      </c>
      <c r="D48" t="s">
        <v>16</v>
      </c>
      <c r="E48" t="s">
        <v>31</v>
      </c>
      <c r="F48" t="s">
        <v>32</v>
      </c>
      <c r="G48">
        <v>11</v>
      </c>
      <c r="H48">
        <v>9</v>
      </c>
      <c r="I48" t="s">
        <v>38</v>
      </c>
      <c r="J48">
        <v>4.7</v>
      </c>
      <c r="K48" t="s">
        <v>50</v>
      </c>
      <c r="L48">
        <v>68000</v>
      </c>
      <c r="M48" t="s">
        <v>19</v>
      </c>
      <c r="N48" t="s">
        <v>21</v>
      </c>
      <c r="O48">
        <v>0</v>
      </c>
    </row>
    <row r="49" spans="1:15" x14ac:dyDescent="0.3">
      <c r="A49" t="s">
        <v>93</v>
      </c>
      <c r="B49">
        <v>26</v>
      </c>
      <c r="C49" t="s">
        <v>15</v>
      </c>
      <c r="D49" t="s">
        <v>24</v>
      </c>
      <c r="E49" t="s">
        <v>17</v>
      </c>
      <c r="F49" t="s">
        <v>18</v>
      </c>
      <c r="G49">
        <v>3</v>
      </c>
      <c r="H49">
        <v>6</v>
      </c>
      <c r="I49" t="s">
        <v>33</v>
      </c>
      <c r="J49">
        <v>3.4</v>
      </c>
      <c r="K49" t="s">
        <v>48</v>
      </c>
      <c r="L49">
        <v>47000</v>
      </c>
      <c r="M49" t="s">
        <v>20</v>
      </c>
      <c r="N49" t="s">
        <v>21</v>
      </c>
      <c r="O49">
        <v>0</v>
      </c>
    </row>
    <row r="50" spans="1:15" x14ac:dyDescent="0.3">
      <c r="A50" t="s">
        <v>94</v>
      </c>
      <c r="B50">
        <v>29</v>
      </c>
      <c r="C50" t="s">
        <v>15</v>
      </c>
      <c r="D50" t="s">
        <v>16</v>
      </c>
      <c r="E50" t="s">
        <v>41</v>
      </c>
      <c r="F50" t="s">
        <v>42</v>
      </c>
      <c r="G50">
        <v>4</v>
      </c>
      <c r="H50">
        <v>7</v>
      </c>
      <c r="I50" t="s">
        <v>19</v>
      </c>
      <c r="J50">
        <v>3.6</v>
      </c>
      <c r="K50" t="s">
        <v>19</v>
      </c>
      <c r="L50">
        <v>51000</v>
      </c>
      <c r="M50" t="s">
        <v>29</v>
      </c>
      <c r="N50" t="s">
        <v>21</v>
      </c>
      <c r="O50">
        <v>0</v>
      </c>
    </row>
    <row r="51" spans="1:15" x14ac:dyDescent="0.3">
      <c r="A51" t="s">
        <v>95</v>
      </c>
      <c r="B51">
        <v>34</v>
      </c>
      <c r="C51" t="s">
        <v>23</v>
      </c>
      <c r="D51" t="s">
        <v>16</v>
      </c>
      <c r="E51" t="s">
        <v>25</v>
      </c>
      <c r="F51" t="s">
        <v>32</v>
      </c>
      <c r="G51">
        <v>6</v>
      </c>
      <c r="H51">
        <v>7</v>
      </c>
      <c r="I51" t="s">
        <v>19</v>
      </c>
      <c r="J51">
        <v>3.9</v>
      </c>
      <c r="K51" t="s">
        <v>19</v>
      </c>
      <c r="L51">
        <v>56000</v>
      </c>
      <c r="M51" t="s">
        <v>29</v>
      </c>
      <c r="N51" t="s">
        <v>21</v>
      </c>
      <c r="O51">
        <v>0</v>
      </c>
    </row>
    <row r="52" spans="1:15" x14ac:dyDescent="0.3">
      <c r="A52" t="s">
        <v>96</v>
      </c>
      <c r="B52">
        <v>31</v>
      </c>
      <c r="C52" t="s">
        <v>23</v>
      </c>
      <c r="D52" t="s">
        <v>16</v>
      </c>
      <c r="E52" t="s">
        <v>17</v>
      </c>
      <c r="F52" t="s">
        <v>18</v>
      </c>
      <c r="G52">
        <v>8</v>
      </c>
      <c r="H52">
        <v>7</v>
      </c>
      <c r="I52" t="s">
        <v>19</v>
      </c>
      <c r="J52">
        <v>4.0999999999999996</v>
      </c>
      <c r="K52" t="s">
        <v>28</v>
      </c>
      <c r="L52">
        <v>46000</v>
      </c>
      <c r="M52" t="s">
        <v>20</v>
      </c>
      <c r="N52" t="s">
        <v>21</v>
      </c>
      <c r="O52">
        <v>0</v>
      </c>
    </row>
    <row r="53" spans="1:15" x14ac:dyDescent="0.3">
      <c r="A53" t="s">
        <v>97</v>
      </c>
      <c r="B53">
        <v>27</v>
      </c>
      <c r="C53" t="s">
        <v>15</v>
      </c>
      <c r="D53" t="s">
        <v>16</v>
      </c>
      <c r="E53" t="s">
        <v>31</v>
      </c>
      <c r="F53" t="s">
        <v>32</v>
      </c>
      <c r="G53">
        <v>3</v>
      </c>
      <c r="H53">
        <v>6</v>
      </c>
      <c r="I53" t="s">
        <v>33</v>
      </c>
      <c r="J53">
        <v>3.6</v>
      </c>
      <c r="K53" t="s">
        <v>19</v>
      </c>
      <c r="L53">
        <v>49000</v>
      </c>
      <c r="M53" t="s">
        <v>20</v>
      </c>
      <c r="N53" t="s">
        <v>21</v>
      </c>
      <c r="O53">
        <v>0</v>
      </c>
    </row>
    <row r="54" spans="1:15" x14ac:dyDescent="0.3">
      <c r="A54" t="s">
        <v>98</v>
      </c>
      <c r="B54">
        <v>36</v>
      </c>
      <c r="C54" t="s">
        <v>44</v>
      </c>
      <c r="D54" t="s">
        <v>24</v>
      </c>
      <c r="E54" t="s">
        <v>41</v>
      </c>
      <c r="F54" t="s">
        <v>42</v>
      </c>
      <c r="G54">
        <v>12</v>
      </c>
      <c r="H54">
        <v>9</v>
      </c>
      <c r="I54" t="s">
        <v>38</v>
      </c>
      <c r="J54">
        <v>4.4000000000000004</v>
      </c>
      <c r="K54" t="s">
        <v>28</v>
      </c>
      <c r="L54">
        <v>64000</v>
      </c>
      <c r="M54" t="s">
        <v>19</v>
      </c>
      <c r="N54" t="s">
        <v>39</v>
      </c>
      <c r="O54">
        <v>1</v>
      </c>
    </row>
    <row r="55" spans="1:15" x14ac:dyDescent="0.3">
      <c r="A55" t="s">
        <v>99</v>
      </c>
      <c r="B55">
        <v>29</v>
      </c>
      <c r="C55" t="s">
        <v>15</v>
      </c>
      <c r="D55" t="s">
        <v>24</v>
      </c>
      <c r="E55" t="s">
        <v>36</v>
      </c>
      <c r="F55" t="s">
        <v>37</v>
      </c>
      <c r="G55">
        <v>4</v>
      </c>
      <c r="H55">
        <v>7</v>
      </c>
      <c r="I55" t="s">
        <v>19</v>
      </c>
      <c r="J55">
        <v>3.2</v>
      </c>
      <c r="K55" t="s">
        <v>48</v>
      </c>
      <c r="L55">
        <v>52000</v>
      </c>
      <c r="M55" t="s">
        <v>29</v>
      </c>
      <c r="N55" t="s">
        <v>21</v>
      </c>
      <c r="O55">
        <v>0</v>
      </c>
    </row>
    <row r="56" spans="1:15" x14ac:dyDescent="0.3">
      <c r="A56" t="s">
        <v>100</v>
      </c>
      <c r="B56">
        <v>45</v>
      </c>
      <c r="C56" t="s">
        <v>35</v>
      </c>
      <c r="D56" t="s">
        <v>16</v>
      </c>
      <c r="E56" t="s">
        <v>25</v>
      </c>
      <c r="F56" t="s">
        <v>26</v>
      </c>
      <c r="G56">
        <v>15</v>
      </c>
      <c r="H56">
        <v>8</v>
      </c>
      <c r="I56" t="s">
        <v>27</v>
      </c>
      <c r="J56">
        <v>4.5</v>
      </c>
      <c r="K56" t="s">
        <v>28</v>
      </c>
      <c r="L56">
        <v>69000</v>
      </c>
      <c r="M56" t="s">
        <v>19</v>
      </c>
      <c r="N56" t="s">
        <v>21</v>
      </c>
      <c r="O56">
        <v>0</v>
      </c>
    </row>
    <row r="57" spans="1:15" x14ac:dyDescent="0.3">
      <c r="A57" t="s">
        <v>101</v>
      </c>
      <c r="B57">
        <v>37</v>
      </c>
      <c r="C57" t="s">
        <v>44</v>
      </c>
      <c r="D57" t="s">
        <v>16</v>
      </c>
      <c r="E57" t="s">
        <v>45</v>
      </c>
      <c r="F57" t="s">
        <v>46</v>
      </c>
      <c r="G57">
        <v>8</v>
      </c>
      <c r="H57">
        <v>7</v>
      </c>
      <c r="I57" t="s">
        <v>19</v>
      </c>
      <c r="J57">
        <v>3.9</v>
      </c>
      <c r="K57" t="s">
        <v>19</v>
      </c>
      <c r="L57">
        <v>58000</v>
      </c>
      <c r="M57" t="s">
        <v>29</v>
      </c>
      <c r="N57" t="s">
        <v>21</v>
      </c>
      <c r="O57">
        <v>0</v>
      </c>
    </row>
    <row r="58" spans="1:15" x14ac:dyDescent="0.3">
      <c r="A58" t="s">
        <v>102</v>
      </c>
      <c r="B58">
        <v>33</v>
      </c>
      <c r="C58" t="s">
        <v>23</v>
      </c>
      <c r="D58" t="s">
        <v>16</v>
      </c>
      <c r="E58" t="s">
        <v>17</v>
      </c>
      <c r="F58" t="s">
        <v>18</v>
      </c>
      <c r="G58">
        <v>7</v>
      </c>
      <c r="H58">
        <v>7</v>
      </c>
      <c r="I58" t="s">
        <v>19</v>
      </c>
      <c r="J58">
        <v>4</v>
      </c>
      <c r="K58" t="s">
        <v>19</v>
      </c>
      <c r="L58">
        <v>55000</v>
      </c>
      <c r="M58" t="s">
        <v>29</v>
      </c>
      <c r="N58" t="s">
        <v>21</v>
      </c>
      <c r="O58">
        <v>0</v>
      </c>
    </row>
    <row r="59" spans="1:15" x14ac:dyDescent="0.3">
      <c r="A59" t="s">
        <v>103</v>
      </c>
      <c r="B59">
        <v>40</v>
      </c>
      <c r="C59" t="s">
        <v>44</v>
      </c>
      <c r="D59" t="s">
        <v>24</v>
      </c>
      <c r="E59" t="s">
        <v>31</v>
      </c>
      <c r="F59" t="s">
        <v>26</v>
      </c>
      <c r="G59">
        <v>11</v>
      </c>
      <c r="H59">
        <v>9</v>
      </c>
      <c r="I59" t="s">
        <v>38</v>
      </c>
      <c r="J59">
        <v>4.3</v>
      </c>
      <c r="K59" t="s">
        <v>28</v>
      </c>
      <c r="L59">
        <v>66000</v>
      </c>
      <c r="M59" t="s">
        <v>19</v>
      </c>
      <c r="N59" t="s">
        <v>39</v>
      </c>
      <c r="O59">
        <v>1</v>
      </c>
    </row>
    <row r="60" spans="1:15" x14ac:dyDescent="0.3">
      <c r="A60" t="s">
        <v>104</v>
      </c>
      <c r="B60">
        <v>34</v>
      </c>
      <c r="C60" t="s">
        <v>23</v>
      </c>
      <c r="D60" t="s">
        <v>16</v>
      </c>
      <c r="E60" t="s">
        <v>41</v>
      </c>
      <c r="F60" t="s">
        <v>42</v>
      </c>
      <c r="G60">
        <v>6</v>
      </c>
      <c r="H60">
        <v>8</v>
      </c>
      <c r="I60" t="s">
        <v>27</v>
      </c>
      <c r="J60">
        <v>4.2</v>
      </c>
      <c r="K60" t="s">
        <v>28</v>
      </c>
      <c r="L60">
        <v>57000</v>
      </c>
      <c r="M60" t="s">
        <v>29</v>
      </c>
      <c r="N60" t="s">
        <v>21</v>
      </c>
      <c r="O60">
        <v>0</v>
      </c>
    </row>
    <row r="61" spans="1:15" x14ac:dyDescent="0.3">
      <c r="A61" t="s">
        <v>105</v>
      </c>
      <c r="B61">
        <v>28</v>
      </c>
      <c r="C61" t="s">
        <v>15</v>
      </c>
      <c r="D61" t="s">
        <v>16</v>
      </c>
      <c r="E61" t="s">
        <v>25</v>
      </c>
      <c r="F61" t="s">
        <v>32</v>
      </c>
      <c r="G61">
        <v>4</v>
      </c>
      <c r="H61">
        <v>6</v>
      </c>
      <c r="I61" t="s">
        <v>33</v>
      </c>
      <c r="J61">
        <v>3.7</v>
      </c>
      <c r="K61" t="s">
        <v>19</v>
      </c>
      <c r="L61">
        <v>51000</v>
      </c>
      <c r="M61" t="s">
        <v>29</v>
      </c>
      <c r="N61" t="s">
        <v>21</v>
      </c>
      <c r="O61">
        <v>0</v>
      </c>
    </row>
    <row r="62" spans="1:15" x14ac:dyDescent="0.3">
      <c r="A62" t="s">
        <v>106</v>
      </c>
      <c r="B62">
        <v>39</v>
      </c>
      <c r="C62" t="s">
        <v>44</v>
      </c>
      <c r="D62" t="s">
        <v>16</v>
      </c>
      <c r="E62" t="s">
        <v>45</v>
      </c>
      <c r="F62" t="s">
        <v>46</v>
      </c>
      <c r="G62">
        <v>9</v>
      </c>
      <c r="H62">
        <v>8</v>
      </c>
      <c r="I62" t="s">
        <v>27</v>
      </c>
      <c r="J62">
        <v>4.0999999999999996</v>
      </c>
      <c r="K62" t="s">
        <v>28</v>
      </c>
      <c r="L62">
        <v>59000</v>
      </c>
      <c r="M62" t="s">
        <v>29</v>
      </c>
      <c r="N62" t="s">
        <v>21</v>
      </c>
      <c r="O62">
        <v>0</v>
      </c>
    </row>
    <row r="63" spans="1:15" x14ac:dyDescent="0.3">
      <c r="A63" t="s">
        <v>107</v>
      </c>
      <c r="B63">
        <v>31</v>
      </c>
      <c r="C63" t="s">
        <v>23</v>
      </c>
      <c r="D63" t="s">
        <v>24</v>
      </c>
      <c r="E63" t="s">
        <v>36</v>
      </c>
      <c r="F63" t="s">
        <v>37</v>
      </c>
      <c r="G63">
        <v>7</v>
      </c>
      <c r="H63">
        <v>7</v>
      </c>
      <c r="I63" t="s">
        <v>19</v>
      </c>
      <c r="J63">
        <v>3.8</v>
      </c>
      <c r="K63" t="s">
        <v>19</v>
      </c>
      <c r="L63">
        <v>55000</v>
      </c>
      <c r="M63" t="s">
        <v>29</v>
      </c>
      <c r="N63" t="s">
        <v>21</v>
      </c>
      <c r="O63">
        <v>0</v>
      </c>
    </row>
    <row r="64" spans="1:15" x14ac:dyDescent="0.3">
      <c r="A64" t="s">
        <v>108</v>
      </c>
      <c r="B64">
        <v>42</v>
      </c>
      <c r="C64" t="s">
        <v>35</v>
      </c>
      <c r="D64" t="s">
        <v>16</v>
      </c>
      <c r="E64" t="s">
        <v>17</v>
      </c>
      <c r="F64" t="s">
        <v>18</v>
      </c>
      <c r="G64">
        <v>10</v>
      </c>
      <c r="H64">
        <v>8</v>
      </c>
      <c r="I64" t="s">
        <v>27</v>
      </c>
      <c r="J64">
        <v>4.4000000000000004</v>
      </c>
      <c r="K64" t="s">
        <v>28</v>
      </c>
      <c r="L64">
        <v>60000</v>
      </c>
      <c r="M64" t="s">
        <v>29</v>
      </c>
      <c r="N64" t="s">
        <v>21</v>
      </c>
      <c r="O64">
        <v>0</v>
      </c>
    </row>
    <row r="65" spans="1:15" x14ac:dyDescent="0.3">
      <c r="A65" t="s">
        <v>109</v>
      </c>
      <c r="B65">
        <v>35</v>
      </c>
      <c r="C65" t="s">
        <v>23</v>
      </c>
      <c r="D65" t="s">
        <v>24</v>
      </c>
      <c r="E65" t="s">
        <v>41</v>
      </c>
      <c r="F65" t="s">
        <v>42</v>
      </c>
      <c r="G65">
        <v>6</v>
      </c>
      <c r="H65">
        <v>7</v>
      </c>
      <c r="I65" t="s">
        <v>19</v>
      </c>
      <c r="J65">
        <v>3.5</v>
      </c>
      <c r="K65" t="s">
        <v>48</v>
      </c>
      <c r="L65">
        <v>53000</v>
      </c>
      <c r="M65" t="s">
        <v>29</v>
      </c>
      <c r="N65" t="s">
        <v>21</v>
      </c>
      <c r="O65">
        <v>0</v>
      </c>
    </row>
    <row r="66" spans="1:15" x14ac:dyDescent="0.3">
      <c r="A66" t="s">
        <v>110</v>
      </c>
      <c r="B66">
        <v>44</v>
      </c>
      <c r="C66" t="s">
        <v>35</v>
      </c>
      <c r="D66" t="s">
        <v>16</v>
      </c>
      <c r="E66" t="s">
        <v>31</v>
      </c>
      <c r="F66" t="s">
        <v>26</v>
      </c>
      <c r="G66">
        <v>13</v>
      </c>
      <c r="H66">
        <v>9</v>
      </c>
      <c r="I66" t="s">
        <v>38</v>
      </c>
      <c r="J66">
        <v>4.5999999999999996</v>
      </c>
      <c r="K66" t="s">
        <v>50</v>
      </c>
      <c r="L66">
        <v>68000</v>
      </c>
      <c r="M66" t="s">
        <v>19</v>
      </c>
      <c r="N66" t="s">
        <v>21</v>
      </c>
      <c r="O66">
        <v>0</v>
      </c>
    </row>
    <row r="67" spans="1:15" x14ac:dyDescent="0.3">
      <c r="A67" t="s">
        <v>111</v>
      </c>
      <c r="B67">
        <v>30</v>
      </c>
      <c r="C67" t="s">
        <v>15</v>
      </c>
      <c r="D67" t="s">
        <v>16</v>
      </c>
      <c r="E67" t="s">
        <v>25</v>
      </c>
      <c r="F67" t="s">
        <v>32</v>
      </c>
      <c r="G67">
        <v>5</v>
      </c>
      <c r="H67">
        <v>6</v>
      </c>
      <c r="I67" t="s">
        <v>33</v>
      </c>
      <c r="J67">
        <v>3.7</v>
      </c>
      <c r="K67" t="s">
        <v>19</v>
      </c>
      <c r="L67">
        <v>52000</v>
      </c>
      <c r="M67" t="s">
        <v>29</v>
      </c>
      <c r="N67" t="s">
        <v>21</v>
      </c>
      <c r="O67">
        <v>0</v>
      </c>
    </row>
    <row r="68" spans="1:15" x14ac:dyDescent="0.3">
      <c r="A68" t="s">
        <v>112</v>
      </c>
      <c r="B68">
        <v>29</v>
      </c>
      <c r="C68" t="s">
        <v>15</v>
      </c>
      <c r="D68" t="s">
        <v>16</v>
      </c>
      <c r="E68" t="s">
        <v>17</v>
      </c>
      <c r="F68" t="s">
        <v>18</v>
      </c>
      <c r="G68">
        <v>6</v>
      </c>
      <c r="H68">
        <v>7</v>
      </c>
      <c r="I68" t="s">
        <v>19</v>
      </c>
      <c r="J68">
        <v>3.8</v>
      </c>
      <c r="K68" t="s">
        <v>19</v>
      </c>
      <c r="L68">
        <v>53000</v>
      </c>
      <c r="M68" t="s">
        <v>29</v>
      </c>
      <c r="N68" t="s">
        <v>21</v>
      </c>
      <c r="O68">
        <v>0</v>
      </c>
    </row>
    <row r="69" spans="1:15" x14ac:dyDescent="0.3">
      <c r="A69" t="s">
        <v>113</v>
      </c>
      <c r="B69">
        <v>36</v>
      </c>
      <c r="C69" t="s">
        <v>44</v>
      </c>
      <c r="D69" t="s">
        <v>24</v>
      </c>
      <c r="E69" t="s">
        <v>41</v>
      </c>
      <c r="F69" t="s">
        <v>42</v>
      </c>
      <c r="G69">
        <v>8</v>
      </c>
      <c r="H69">
        <v>8</v>
      </c>
      <c r="I69" t="s">
        <v>27</v>
      </c>
      <c r="J69">
        <v>4</v>
      </c>
      <c r="K69" t="s">
        <v>19</v>
      </c>
      <c r="L69">
        <v>56000</v>
      </c>
      <c r="M69" t="s">
        <v>29</v>
      </c>
      <c r="N69" t="s">
        <v>21</v>
      </c>
      <c r="O69">
        <v>0</v>
      </c>
    </row>
    <row r="70" spans="1:15" x14ac:dyDescent="0.3">
      <c r="A70" t="s">
        <v>114</v>
      </c>
      <c r="B70">
        <v>41</v>
      </c>
      <c r="C70" t="s">
        <v>35</v>
      </c>
      <c r="D70" t="s">
        <v>16</v>
      </c>
      <c r="E70" t="s">
        <v>45</v>
      </c>
      <c r="F70" t="s">
        <v>46</v>
      </c>
      <c r="G70">
        <v>11</v>
      </c>
      <c r="H70">
        <v>9</v>
      </c>
      <c r="I70" t="s">
        <v>38</v>
      </c>
      <c r="J70">
        <v>4.2</v>
      </c>
      <c r="K70" t="s">
        <v>28</v>
      </c>
      <c r="L70">
        <v>58000</v>
      </c>
      <c r="M70" t="s">
        <v>29</v>
      </c>
      <c r="N70" t="s">
        <v>21</v>
      </c>
      <c r="O70">
        <v>0</v>
      </c>
    </row>
    <row r="71" spans="1:15" x14ac:dyDescent="0.3">
      <c r="A71" t="s">
        <v>115</v>
      </c>
      <c r="B71">
        <v>33</v>
      </c>
      <c r="C71" t="s">
        <v>23</v>
      </c>
      <c r="D71" t="s">
        <v>24</v>
      </c>
      <c r="E71" t="s">
        <v>31</v>
      </c>
      <c r="F71" t="s">
        <v>32</v>
      </c>
      <c r="G71">
        <v>7</v>
      </c>
      <c r="H71">
        <v>7</v>
      </c>
      <c r="I71" t="s">
        <v>19</v>
      </c>
      <c r="J71">
        <v>3.9</v>
      </c>
      <c r="K71" t="s">
        <v>19</v>
      </c>
      <c r="L71">
        <v>54000</v>
      </c>
      <c r="M71" t="s">
        <v>29</v>
      </c>
      <c r="N71" t="s">
        <v>21</v>
      </c>
      <c r="O71">
        <v>0</v>
      </c>
    </row>
    <row r="72" spans="1:15" x14ac:dyDescent="0.3">
      <c r="A72" t="s">
        <v>116</v>
      </c>
      <c r="B72">
        <v>46</v>
      </c>
      <c r="C72" t="s">
        <v>75</v>
      </c>
      <c r="D72" t="s">
        <v>16</v>
      </c>
      <c r="E72" t="s">
        <v>36</v>
      </c>
      <c r="F72" t="s">
        <v>37</v>
      </c>
      <c r="G72">
        <v>15</v>
      </c>
      <c r="H72">
        <v>8</v>
      </c>
      <c r="I72" t="s">
        <v>27</v>
      </c>
      <c r="J72">
        <v>4.5</v>
      </c>
      <c r="K72" t="s">
        <v>28</v>
      </c>
      <c r="L72">
        <v>67000</v>
      </c>
      <c r="M72" t="s">
        <v>19</v>
      </c>
      <c r="N72" t="s">
        <v>21</v>
      </c>
      <c r="O72">
        <v>0</v>
      </c>
    </row>
    <row r="73" spans="1:15" x14ac:dyDescent="0.3">
      <c r="A73" t="s">
        <v>117</v>
      </c>
      <c r="B73">
        <v>31</v>
      </c>
      <c r="C73" t="s">
        <v>23</v>
      </c>
      <c r="D73" t="s">
        <v>16</v>
      </c>
      <c r="E73" t="s">
        <v>17</v>
      </c>
      <c r="F73" t="s">
        <v>18</v>
      </c>
      <c r="G73">
        <v>7</v>
      </c>
      <c r="H73">
        <v>7</v>
      </c>
      <c r="I73" t="s">
        <v>19</v>
      </c>
      <c r="J73">
        <v>3.6</v>
      </c>
      <c r="K73" t="s">
        <v>19</v>
      </c>
      <c r="L73">
        <v>54000</v>
      </c>
      <c r="M73" t="s">
        <v>29</v>
      </c>
      <c r="N73" t="s">
        <v>21</v>
      </c>
      <c r="O73">
        <v>0</v>
      </c>
    </row>
    <row r="74" spans="1:15" x14ac:dyDescent="0.3">
      <c r="A74" t="s">
        <v>118</v>
      </c>
      <c r="B74">
        <v>30</v>
      </c>
      <c r="C74" t="s">
        <v>15</v>
      </c>
      <c r="D74" t="s">
        <v>24</v>
      </c>
      <c r="E74" t="s">
        <v>41</v>
      </c>
      <c r="F74" t="s">
        <v>42</v>
      </c>
      <c r="G74">
        <v>6</v>
      </c>
      <c r="H74">
        <v>7</v>
      </c>
      <c r="I74" t="s">
        <v>19</v>
      </c>
      <c r="J74">
        <v>3.7</v>
      </c>
      <c r="K74" t="s">
        <v>19</v>
      </c>
      <c r="L74">
        <v>55000</v>
      </c>
      <c r="M74" t="s">
        <v>29</v>
      </c>
      <c r="N74" t="s">
        <v>21</v>
      </c>
      <c r="O74">
        <v>0</v>
      </c>
    </row>
    <row r="75" spans="1:15" x14ac:dyDescent="0.3">
      <c r="A75" t="s">
        <v>119</v>
      </c>
      <c r="B75">
        <v>38</v>
      </c>
      <c r="C75" t="s">
        <v>44</v>
      </c>
      <c r="D75" t="s">
        <v>16</v>
      </c>
      <c r="E75" t="s">
        <v>25</v>
      </c>
      <c r="F75" t="s">
        <v>26</v>
      </c>
      <c r="G75">
        <v>8</v>
      </c>
      <c r="H75">
        <v>8</v>
      </c>
      <c r="I75" t="s">
        <v>27</v>
      </c>
      <c r="J75">
        <v>4</v>
      </c>
      <c r="K75" t="s">
        <v>19</v>
      </c>
      <c r="L75">
        <v>58000</v>
      </c>
      <c r="M75" t="s">
        <v>29</v>
      </c>
      <c r="N75" t="s">
        <v>21</v>
      </c>
      <c r="O75">
        <v>0</v>
      </c>
    </row>
    <row r="76" spans="1:15" x14ac:dyDescent="0.3">
      <c r="A76" t="s">
        <v>120</v>
      </c>
      <c r="B76">
        <v>37</v>
      </c>
      <c r="C76" t="s">
        <v>44</v>
      </c>
      <c r="D76" t="s">
        <v>16</v>
      </c>
      <c r="E76" t="s">
        <v>45</v>
      </c>
      <c r="F76" t="s">
        <v>46</v>
      </c>
      <c r="G76">
        <v>9</v>
      </c>
      <c r="H76">
        <v>8</v>
      </c>
      <c r="I76" t="s">
        <v>27</v>
      </c>
      <c r="J76">
        <v>4.0999999999999996</v>
      </c>
      <c r="K76" t="s">
        <v>28</v>
      </c>
      <c r="L76">
        <v>59000</v>
      </c>
      <c r="M76" t="s">
        <v>29</v>
      </c>
      <c r="N76" t="s">
        <v>21</v>
      </c>
      <c r="O76">
        <v>0</v>
      </c>
    </row>
    <row r="77" spans="1:15" x14ac:dyDescent="0.3">
      <c r="A77" t="s">
        <v>121</v>
      </c>
      <c r="B77">
        <v>35</v>
      </c>
      <c r="C77" t="s">
        <v>23</v>
      </c>
      <c r="D77" t="s">
        <v>16</v>
      </c>
      <c r="E77" t="s">
        <v>17</v>
      </c>
      <c r="F77" t="s">
        <v>18</v>
      </c>
      <c r="G77">
        <v>8</v>
      </c>
      <c r="H77">
        <v>7</v>
      </c>
      <c r="I77" t="s">
        <v>19</v>
      </c>
      <c r="J77">
        <v>4.2</v>
      </c>
      <c r="K77" t="s">
        <v>28</v>
      </c>
      <c r="L77">
        <v>60000</v>
      </c>
      <c r="M77" t="s">
        <v>29</v>
      </c>
      <c r="N77" t="s">
        <v>21</v>
      </c>
      <c r="O77">
        <v>0</v>
      </c>
    </row>
    <row r="78" spans="1:15" x14ac:dyDescent="0.3">
      <c r="A78" t="s">
        <v>122</v>
      </c>
      <c r="B78">
        <v>43</v>
      </c>
      <c r="C78" t="s">
        <v>35</v>
      </c>
      <c r="D78" t="s">
        <v>24</v>
      </c>
      <c r="E78" t="s">
        <v>31</v>
      </c>
      <c r="F78" t="s">
        <v>26</v>
      </c>
      <c r="G78">
        <v>12</v>
      </c>
      <c r="H78">
        <v>9</v>
      </c>
      <c r="I78" t="s">
        <v>38</v>
      </c>
      <c r="J78">
        <v>4.3</v>
      </c>
      <c r="K78" t="s">
        <v>28</v>
      </c>
      <c r="L78">
        <v>61000</v>
      </c>
      <c r="M78" t="s">
        <v>19</v>
      </c>
      <c r="N78" t="s">
        <v>21</v>
      </c>
      <c r="O78">
        <v>0</v>
      </c>
    </row>
    <row r="79" spans="1:15" x14ac:dyDescent="0.3">
      <c r="A79" t="s">
        <v>123</v>
      </c>
      <c r="B79">
        <v>29</v>
      </c>
      <c r="C79" t="s">
        <v>15</v>
      </c>
      <c r="D79" t="s">
        <v>16</v>
      </c>
      <c r="E79" t="s">
        <v>41</v>
      </c>
      <c r="F79" t="s">
        <v>42</v>
      </c>
      <c r="G79">
        <v>5</v>
      </c>
      <c r="H79">
        <v>6</v>
      </c>
      <c r="I79" t="s">
        <v>33</v>
      </c>
      <c r="J79">
        <v>3.5</v>
      </c>
      <c r="K79" t="s">
        <v>48</v>
      </c>
      <c r="L79">
        <v>52000</v>
      </c>
      <c r="M79" t="s">
        <v>29</v>
      </c>
      <c r="N79" t="s">
        <v>21</v>
      </c>
      <c r="O79">
        <v>0</v>
      </c>
    </row>
    <row r="80" spans="1:15" x14ac:dyDescent="0.3">
      <c r="A80" t="s">
        <v>124</v>
      </c>
      <c r="B80">
        <v>32</v>
      </c>
      <c r="C80" t="s">
        <v>23</v>
      </c>
      <c r="D80" t="s">
        <v>24</v>
      </c>
      <c r="E80" t="s">
        <v>36</v>
      </c>
      <c r="F80" t="s">
        <v>37</v>
      </c>
      <c r="G80">
        <v>6</v>
      </c>
      <c r="H80">
        <v>7</v>
      </c>
      <c r="I80" t="s">
        <v>19</v>
      </c>
      <c r="J80">
        <v>3.6</v>
      </c>
      <c r="K80" t="s">
        <v>19</v>
      </c>
      <c r="L80">
        <v>53000</v>
      </c>
      <c r="M80" t="s">
        <v>29</v>
      </c>
      <c r="N80" t="s">
        <v>21</v>
      </c>
      <c r="O80">
        <v>0</v>
      </c>
    </row>
    <row r="81" spans="1:15" x14ac:dyDescent="0.3">
      <c r="A81" t="s">
        <v>125</v>
      </c>
      <c r="B81">
        <v>34</v>
      </c>
      <c r="C81" t="s">
        <v>23</v>
      </c>
      <c r="D81" t="s">
        <v>16</v>
      </c>
      <c r="E81" t="s">
        <v>25</v>
      </c>
      <c r="F81" t="s">
        <v>32</v>
      </c>
      <c r="G81">
        <v>7</v>
      </c>
      <c r="H81">
        <v>7</v>
      </c>
      <c r="I81" t="s">
        <v>19</v>
      </c>
      <c r="J81">
        <v>3.8</v>
      </c>
      <c r="K81" t="s">
        <v>19</v>
      </c>
      <c r="L81">
        <v>54000</v>
      </c>
      <c r="M81" t="s">
        <v>29</v>
      </c>
      <c r="N81" t="s">
        <v>21</v>
      </c>
      <c r="O81">
        <v>0</v>
      </c>
    </row>
    <row r="82" spans="1:15" x14ac:dyDescent="0.3">
      <c r="A82" t="s">
        <v>126</v>
      </c>
      <c r="B82">
        <v>30</v>
      </c>
      <c r="C82" t="s">
        <v>15</v>
      </c>
      <c r="D82" t="s">
        <v>16</v>
      </c>
      <c r="E82" t="s">
        <v>45</v>
      </c>
      <c r="F82" t="s">
        <v>46</v>
      </c>
      <c r="G82">
        <v>6</v>
      </c>
      <c r="H82">
        <v>7</v>
      </c>
      <c r="I82" t="s">
        <v>19</v>
      </c>
      <c r="J82">
        <v>3.9</v>
      </c>
      <c r="K82" t="s">
        <v>19</v>
      </c>
      <c r="L82">
        <v>55000</v>
      </c>
      <c r="M82" t="s">
        <v>29</v>
      </c>
      <c r="N82" t="s">
        <v>21</v>
      </c>
      <c r="O82">
        <v>0</v>
      </c>
    </row>
    <row r="83" spans="1:15" x14ac:dyDescent="0.3">
      <c r="A83" t="s">
        <v>127</v>
      </c>
      <c r="B83">
        <v>38</v>
      </c>
      <c r="C83" t="s">
        <v>44</v>
      </c>
      <c r="D83" t="s">
        <v>24</v>
      </c>
      <c r="E83" t="s">
        <v>17</v>
      </c>
      <c r="F83" t="s">
        <v>18</v>
      </c>
      <c r="G83">
        <v>8</v>
      </c>
      <c r="H83">
        <v>8</v>
      </c>
      <c r="I83" t="s">
        <v>27</v>
      </c>
      <c r="J83">
        <v>4</v>
      </c>
      <c r="K83" t="s">
        <v>19</v>
      </c>
      <c r="L83">
        <v>56000</v>
      </c>
      <c r="M83" t="s">
        <v>29</v>
      </c>
      <c r="N83" t="s">
        <v>21</v>
      </c>
      <c r="O83">
        <v>0</v>
      </c>
    </row>
    <row r="84" spans="1:15" x14ac:dyDescent="0.3">
      <c r="A84" t="s">
        <v>128</v>
      </c>
      <c r="B84">
        <v>35</v>
      </c>
      <c r="C84" t="s">
        <v>23</v>
      </c>
      <c r="D84" t="s">
        <v>16</v>
      </c>
      <c r="E84" t="s">
        <v>41</v>
      </c>
      <c r="F84" t="s">
        <v>42</v>
      </c>
      <c r="G84">
        <v>7</v>
      </c>
      <c r="H84">
        <v>7</v>
      </c>
      <c r="I84" t="s">
        <v>19</v>
      </c>
      <c r="J84">
        <v>4.0999999999999996</v>
      </c>
      <c r="K84" t="s">
        <v>28</v>
      </c>
      <c r="L84">
        <v>57000</v>
      </c>
      <c r="M84" t="s">
        <v>29</v>
      </c>
      <c r="N84" t="s">
        <v>21</v>
      </c>
      <c r="O84">
        <v>0</v>
      </c>
    </row>
    <row r="85" spans="1:15" x14ac:dyDescent="0.3">
      <c r="A85" t="s">
        <v>129</v>
      </c>
      <c r="B85">
        <v>36</v>
      </c>
      <c r="C85" t="s">
        <v>44</v>
      </c>
      <c r="D85" t="s">
        <v>16</v>
      </c>
      <c r="E85" t="s">
        <v>31</v>
      </c>
      <c r="F85" t="s">
        <v>26</v>
      </c>
      <c r="G85">
        <v>8</v>
      </c>
      <c r="H85">
        <v>8</v>
      </c>
      <c r="I85" t="s">
        <v>27</v>
      </c>
      <c r="J85">
        <v>4.2</v>
      </c>
      <c r="K85" t="s">
        <v>28</v>
      </c>
      <c r="L85">
        <v>58000</v>
      </c>
      <c r="M85" t="s">
        <v>29</v>
      </c>
      <c r="N85" t="s">
        <v>21</v>
      </c>
      <c r="O85">
        <v>0</v>
      </c>
    </row>
    <row r="86" spans="1:15" x14ac:dyDescent="0.3">
      <c r="A86" t="s">
        <v>130</v>
      </c>
      <c r="B86">
        <v>27</v>
      </c>
      <c r="C86" t="s">
        <v>15</v>
      </c>
      <c r="D86" t="s">
        <v>24</v>
      </c>
      <c r="E86" t="s">
        <v>25</v>
      </c>
      <c r="F86" t="s">
        <v>26</v>
      </c>
      <c r="G86">
        <v>4</v>
      </c>
      <c r="H86">
        <v>6</v>
      </c>
      <c r="I86" t="s">
        <v>33</v>
      </c>
      <c r="J86">
        <v>3.2</v>
      </c>
      <c r="K86" t="s">
        <v>48</v>
      </c>
      <c r="L86">
        <v>51000</v>
      </c>
      <c r="M86" t="s">
        <v>29</v>
      </c>
      <c r="N86" t="s">
        <v>21</v>
      </c>
      <c r="O86">
        <v>0</v>
      </c>
    </row>
    <row r="87" spans="1:15" x14ac:dyDescent="0.3">
      <c r="A87" t="s">
        <v>131</v>
      </c>
      <c r="B87">
        <v>32</v>
      </c>
      <c r="C87" t="s">
        <v>23</v>
      </c>
      <c r="D87" t="s">
        <v>16</v>
      </c>
      <c r="E87" t="s">
        <v>17</v>
      </c>
      <c r="F87" t="s">
        <v>18</v>
      </c>
      <c r="G87">
        <v>6</v>
      </c>
      <c r="H87">
        <v>7</v>
      </c>
      <c r="I87" t="s">
        <v>19</v>
      </c>
      <c r="J87">
        <v>3.3</v>
      </c>
      <c r="K87" t="s">
        <v>48</v>
      </c>
      <c r="L87">
        <v>52000</v>
      </c>
      <c r="M87" t="s">
        <v>29</v>
      </c>
      <c r="N87" t="s">
        <v>21</v>
      </c>
      <c r="O87">
        <v>0</v>
      </c>
    </row>
    <row r="88" spans="1:15" x14ac:dyDescent="0.3">
      <c r="A88" t="s">
        <v>132</v>
      </c>
      <c r="B88">
        <v>41</v>
      </c>
      <c r="C88" t="s">
        <v>35</v>
      </c>
      <c r="D88" t="s">
        <v>16</v>
      </c>
      <c r="E88" t="s">
        <v>41</v>
      </c>
      <c r="F88" t="s">
        <v>42</v>
      </c>
      <c r="G88">
        <v>9</v>
      </c>
      <c r="H88">
        <v>8</v>
      </c>
      <c r="I88" t="s">
        <v>27</v>
      </c>
      <c r="J88">
        <v>3.4</v>
      </c>
      <c r="K88" t="s">
        <v>48</v>
      </c>
      <c r="L88">
        <v>53000</v>
      </c>
      <c r="M88" t="s">
        <v>29</v>
      </c>
      <c r="N88" t="s">
        <v>21</v>
      </c>
      <c r="O88">
        <v>0</v>
      </c>
    </row>
    <row r="89" spans="1:15" x14ac:dyDescent="0.3">
      <c r="A89" t="s">
        <v>133</v>
      </c>
      <c r="B89">
        <v>29</v>
      </c>
      <c r="C89" t="s">
        <v>15</v>
      </c>
      <c r="D89" t="s">
        <v>16</v>
      </c>
      <c r="E89" t="s">
        <v>36</v>
      </c>
      <c r="F89" t="s">
        <v>37</v>
      </c>
      <c r="G89">
        <v>7</v>
      </c>
      <c r="H89">
        <v>7</v>
      </c>
      <c r="I89" t="s">
        <v>19</v>
      </c>
      <c r="J89">
        <v>3.5</v>
      </c>
      <c r="K89" t="s">
        <v>48</v>
      </c>
      <c r="L89">
        <v>54000</v>
      </c>
      <c r="M89" t="s">
        <v>29</v>
      </c>
      <c r="N89" t="s">
        <v>21</v>
      </c>
      <c r="O89">
        <v>0</v>
      </c>
    </row>
    <row r="90" spans="1:15" x14ac:dyDescent="0.3">
      <c r="A90" t="s">
        <v>134</v>
      </c>
      <c r="B90">
        <v>43</v>
      </c>
      <c r="C90" t="s">
        <v>35</v>
      </c>
      <c r="D90" t="s">
        <v>16</v>
      </c>
      <c r="E90" t="s">
        <v>45</v>
      </c>
      <c r="F90" t="s">
        <v>46</v>
      </c>
      <c r="G90">
        <v>12</v>
      </c>
      <c r="H90">
        <v>9</v>
      </c>
      <c r="I90" t="s">
        <v>38</v>
      </c>
      <c r="J90">
        <v>4.4000000000000004</v>
      </c>
      <c r="K90" t="s">
        <v>28</v>
      </c>
      <c r="L90">
        <v>59000</v>
      </c>
      <c r="M90" t="s">
        <v>29</v>
      </c>
      <c r="N90" t="s">
        <v>21</v>
      </c>
      <c r="O90">
        <v>0</v>
      </c>
    </row>
    <row r="91" spans="1:15" x14ac:dyDescent="0.3">
      <c r="A91" t="s">
        <v>135</v>
      </c>
      <c r="B91">
        <v>26</v>
      </c>
      <c r="C91" t="s">
        <v>15</v>
      </c>
      <c r="D91" t="s">
        <v>24</v>
      </c>
      <c r="E91" t="s">
        <v>31</v>
      </c>
      <c r="F91" t="s">
        <v>32</v>
      </c>
      <c r="G91">
        <v>3</v>
      </c>
      <c r="H91">
        <v>6</v>
      </c>
      <c r="I91" t="s">
        <v>33</v>
      </c>
      <c r="J91">
        <v>3</v>
      </c>
      <c r="K91" t="s">
        <v>66</v>
      </c>
      <c r="L91">
        <v>48000</v>
      </c>
      <c r="M91" t="s">
        <v>20</v>
      </c>
      <c r="N91" t="s">
        <v>21</v>
      </c>
      <c r="O91">
        <v>0</v>
      </c>
    </row>
    <row r="92" spans="1:15" x14ac:dyDescent="0.3">
      <c r="A92" t="s">
        <v>136</v>
      </c>
      <c r="B92">
        <v>45</v>
      </c>
      <c r="C92" t="s">
        <v>35</v>
      </c>
      <c r="D92" t="s">
        <v>16</v>
      </c>
      <c r="E92" t="s">
        <v>17</v>
      </c>
      <c r="F92" t="s">
        <v>18</v>
      </c>
      <c r="G92">
        <v>10</v>
      </c>
      <c r="H92">
        <v>8</v>
      </c>
      <c r="I92" t="s">
        <v>27</v>
      </c>
      <c r="J92">
        <v>4.5</v>
      </c>
      <c r="K92" t="s">
        <v>28</v>
      </c>
      <c r="L92">
        <v>60000</v>
      </c>
      <c r="M92" t="s">
        <v>29</v>
      </c>
      <c r="N92" t="s">
        <v>21</v>
      </c>
      <c r="O92">
        <v>0</v>
      </c>
    </row>
    <row r="93" spans="1:15" x14ac:dyDescent="0.3">
      <c r="A93" t="s">
        <v>137</v>
      </c>
      <c r="B93">
        <v>31</v>
      </c>
      <c r="C93" t="s">
        <v>23</v>
      </c>
      <c r="D93" t="s">
        <v>16</v>
      </c>
      <c r="E93" t="s">
        <v>41</v>
      </c>
      <c r="F93" t="s">
        <v>42</v>
      </c>
      <c r="G93">
        <v>6</v>
      </c>
      <c r="H93">
        <v>7</v>
      </c>
      <c r="I93" t="s">
        <v>19</v>
      </c>
      <c r="J93">
        <v>3.6</v>
      </c>
      <c r="K93" t="s">
        <v>19</v>
      </c>
      <c r="L93">
        <v>55000</v>
      </c>
      <c r="M93" t="s">
        <v>29</v>
      </c>
      <c r="N93" t="s">
        <v>21</v>
      </c>
      <c r="O93">
        <v>0</v>
      </c>
    </row>
    <row r="94" spans="1:15" x14ac:dyDescent="0.3">
      <c r="A94" t="s">
        <v>138</v>
      </c>
      <c r="B94">
        <v>34</v>
      </c>
      <c r="C94" t="s">
        <v>23</v>
      </c>
      <c r="D94" t="s">
        <v>24</v>
      </c>
      <c r="E94" t="s">
        <v>25</v>
      </c>
      <c r="F94" t="s">
        <v>26</v>
      </c>
      <c r="G94">
        <v>8</v>
      </c>
      <c r="H94">
        <v>8</v>
      </c>
      <c r="I94" t="s">
        <v>27</v>
      </c>
      <c r="J94">
        <v>3.7</v>
      </c>
      <c r="K94" t="s">
        <v>19</v>
      </c>
      <c r="L94">
        <v>56000</v>
      </c>
      <c r="M94" t="s">
        <v>29</v>
      </c>
      <c r="N94" t="s">
        <v>21</v>
      </c>
      <c r="O94">
        <v>0</v>
      </c>
    </row>
    <row r="95" spans="1:15" x14ac:dyDescent="0.3">
      <c r="A95" t="s">
        <v>139</v>
      </c>
      <c r="B95">
        <v>37</v>
      </c>
      <c r="C95" t="s">
        <v>44</v>
      </c>
      <c r="D95" t="s">
        <v>16</v>
      </c>
      <c r="E95" t="s">
        <v>31</v>
      </c>
      <c r="F95" t="s">
        <v>26</v>
      </c>
      <c r="G95">
        <v>9</v>
      </c>
      <c r="H95">
        <v>8</v>
      </c>
      <c r="I95" t="s">
        <v>27</v>
      </c>
      <c r="J95">
        <v>3.8</v>
      </c>
      <c r="K95" t="s">
        <v>19</v>
      </c>
      <c r="L95">
        <v>57000</v>
      </c>
      <c r="M95" t="s">
        <v>29</v>
      </c>
      <c r="N95" t="s">
        <v>21</v>
      </c>
      <c r="O95">
        <v>0</v>
      </c>
    </row>
    <row r="96" spans="1:15" x14ac:dyDescent="0.3">
      <c r="A96" t="s">
        <v>140</v>
      </c>
      <c r="B96">
        <v>40</v>
      </c>
      <c r="C96" t="s">
        <v>44</v>
      </c>
      <c r="D96" t="s">
        <v>16</v>
      </c>
      <c r="E96" t="s">
        <v>17</v>
      </c>
      <c r="F96" t="s">
        <v>18</v>
      </c>
      <c r="G96">
        <v>10</v>
      </c>
      <c r="H96">
        <v>8</v>
      </c>
      <c r="I96" t="s">
        <v>27</v>
      </c>
      <c r="J96">
        <v>3.9</v>
      </c>
      <c r="K96" t="s">
        <v>19</v>
      </c>
      <c r="L96">
        <v>58000</v>
      </c>
      <c r="M96" t="s">
        <v>29</v>
      </c>
      <c r="N96" t="s">
        <v>21</v>
      </c>
      <c r="O96">
        <v>0</v>
      </c>
    </row>
    <row r="97" spans="1:15" x14ac:dyDescent="0.3">
      <c r="A97" t="s">
        <v>141</v>
      </c>
      <c r="B97">
        <v>33</v>
      </c>
      <c r="C97" t="s">
        <v>23</v>
      </c>
      <c r="D97" t="s">
        <v>16</v>
      </c>
      <c r="E97" t="s">
        <v>36</v>
      </c>
      <c r="F97" t="s">
        <v>37</v>
      </c>
      <c r="G97">
        <v>7</v>
      </c>
      <c r="H97">
        <v>7</v>
      </c>
      <c r="I97" t="s">
        <v>19</v>
      </c>
      <c r="J97">
        <v>4</v>
      </c>
      <c r="K97" t="s">
        <v>19</v>
      </c>
      <c r="L97">
        <v>59000</v>
      </c>
      <c r="M97" t="s">
        <v>29</v>
      </c>
      <c r="N97" t="s">
        <v>21</v>
      </c>
      <c r="O97">
        <v>0</v>
      </c>
    </row>
    <row r="98" spans="1:15" x14ac:dyDescent="0.3">
      <c r="A98" t="s">
        <v>142</v>
      </c>
      <c r="B98">
        <v>39</v>
      </c>
      <c r="C98" t="s">
        <v>44</v>
      </c>
      <c r="D98" t="s">
        <v>24</v>
      </c>
      <c r="E98" t="s">
        <v>41</v>
      </c>
      <c r="F98" t="s">
        <v>42</v>
      </c>
      <c r="G98">
        <v>9</v>
      </c>
      <c r="H98">
        <v>8</v>
      </c>
      <c r="I98" t="s">
        <v>27</v>
      </c>
      <c r="J98">
        <v>4.0999999999999996</v>
      </c>
      <c r="K98" t="s">
        <v>28</v>
      </c>
      <c r="L98">
        <v>60000</v>
      </c>
      <c r="M98" t="s">
        <v>29</v>
      </c>
      <c r="N98" t="s">
        <v>21</v>
      </c>
      <c r="O98">
        <v>0</v>
      </c>
    </row>
    <row r="99" spans="1:15" x14ac:dyDescent="0.3">
      <c r="A99" t="s">
        <v>143</v>
      </c>
      <c r="B99">
        <v>28</v>
      </c>
      <c r="C99" t="s">
        <v>15</v>
      </c>
      <c r="D99" t="s">
        <v>16</v>
      </c>
      <c r="E99" t="s">
        <v>45</v>
      </c>
      <c r="F99" t="s">
        <v>46</v>
      </c>
      <c r="G99">
        <v>5</v>
      </c>
      <c r="H99">
        <v>6</v>
      </c>
      <c r="I99" t="s">
        <v>33</v>
      </c>
      <c r="J99">
        <v>3.2</v>
      </c>
      <c r="K99" t="s">
        <v>48</v>
      </c>
      <c r="L99">
        <v>53000</v>
      </c>
      <c r="M99" t="s">
        <v>29</v>
      </c>
      <c r="N99" t="s">
        <v>21</v>
      </c>
      <c r="O99">
        <v>0</v>
      </c>
    </row>
    <row r="100" spans="1:15" x14ac:dyDescent="0.3">
      <c r="A100" t="s">
        <v>144</v>
      </c>
      <c r="B100">
        <v>32</v>
      </c>
      <c r="C100" t="s">
        <v>23</v>
      </c>
      <c r="D100" t="s">
        <v>16</v>
      </c>
      <c r="E100" t="s">
        <v>31</v>
      </c>
      <c r="F100" t="s">
        <v>32</v>
      </c>
      <c r="G100">
        <v>6</v>
      </c>
      <c r="H100">
        <v>7</v>
      </c>
      <c r="I100" t="s">
        <v>19</v>
      </c>
      <c r="J100">
        <v>3.3</v>
      </c>
      <c r="K100" t="s">
        <v>48</v>
      </c>
      <c r="L100">
        <v>54000</v>
      </c>
      <c r="M100" t="s">
        <v>29</v>
      </c>
      <c r="N100" t="s">
        <v>21</v>
      </c>
      <c r="O100">
        <v>0</v>
      </c>
    </row>
    <row r="101" spans="1:15" x14ac:dyDescent="0.3">
      <c r="A101" t="s">
        <v>145</v>
      </c>
      <c r="B101">
        <v>37</v>
      </c>
      <c r="C101" t="s">
        <v>44</v>
      </c>
      <c r="D101" t="s">
        <v>24</v>
      </c>
      <c r="E101" t="s">
        <v>17</v>
      </c>
      <c r="F101" t="s">
        <v>18</v>
      </c>
      <c r="G101">
        <v>8</v>
      </c>
      <c r="H101">
        <v>8</v>
      </c>
      <c r="I101" t="s">
        <v>27</v>
      </c>
      <c r="J101">
        <v>3.4</v>
      </c>
      <c r="K101" t="s">
        <v>48</v>
      </c>
      <c r="L101">
        <v>55000</v>
      </c>
      <c r="M101" t="s">
        <v>29</v>
      </c>
      <c r="N101" t="s">
        <v>21</v>
      </c>
      <c r="O101">
        <v>0</v>
      </c>
    </row>
    <row r="102" spans="1:15" x14ac:dyDescent="0.3">
      <c r="A102" t="s">
        <v>146</v>
      </c>
      <c r="B102">
        <v>30</v>
      </c>
      <c r="C102" t="s">
        <v>15</v>
      </c>
      <c r="D102" t="s">
        <v>16</v>
      </c>
      <c r="E102" t="s">
        <v>41</v>
      </c>
      <c r="F102" t="s">
        <v>42</v>
      </c>
      <c r="G102">
        <v>6</v>
      </c>
      <c r="H102">
        <v>7</v>
      </c>
      <c r="I102" t="s">
        <v>19</v>
      </c>
      <c r="J102">
        <v>3.5</v>
      </c>
      <c r="K102" t="s">
        <v>48</v>
      </c>
      <c r="L102">
        <v>55000</v>
      </c>
      <c r="M102" t="s">
        <v>29</v>
      </c>
      <c r="N102" t="s">
        <v>21</v>
      </c>
      <c r="O102">
        <v>0</v>
      </c>
    </row>
    <row r="103" spans="1:15" x14ac:dyDescent="0.3">
      <c r="A103" t="s">
        <v>147</v>
      </c>
      <c r="B103">
        <v>42</v>
      </c>
      <c r="C103" t="s">
        <v>35</v>
      </c>
      <c r="D103" t="s">
        <v>16</v>
      </c>
      <c r="E103" t="s">
        <v>31</v>
      </c>
      <c r="F103" t="s">
        <v>26</v>
      </c>
      <c r="G103">
        <v>10</v>
      </c>
      <c r="H103">
        <v>8</v>
      </c>
      <c r="I103" t="s">
        <v>27</v>
      </c>
      <c r="J103">
        <v>4.4000000000000004</v>
      </c>
      <c r="K103" t="s">
        <v>28</v>
      </c>
      <c r="L103">
        <v>60000</v>
      </c>
      <c r="M103" t="s">
        <v>29</v>
      </c>
      <c r="N103" t="s">
        <v>21</v>
      </c>
      <c r="O103">
        <v>0</v>
      </c>
    </row>
    <row r="104" spans="1:15" x14ac:dyDescent="0.3">
      <c r="A104" t="s">
        <v>148</v>
      </c>
      <c r="B104">
        <v>31</v>
      </c>
      <c r="C104" t="s">
        <v>23</v>
      </c>
      <c r="D104" t="s">
        <v>24</v>
      </c>
      <c r="E104" t="s">
        <v>36</v>
      </c>
      <c r="F104" t="s">
        <v>37</v>
      </c>
      <c r="G104">
        <v>7</v>
      </c>
      <c r="H104">
        <v>7</v>
      </c>
      <c r="I104" t="s">
        <v>19</v>
      </c>
      <c r="J104">
        <v>3.6</v>
      </c>
      <c r="K104" t="s">
        <v>19</v>
      </c>
      <c r="L104">
        <v>57000</v>
      </c>
      <c r="M104" t="s">
        <v>29</v>
      </c>
      <c r="N104" t="s">
        <v>21</v>
      </c>
      <c r="O104">
        <v>0</v>
      </c>
    </row>
    <row r="105" spans="1:15" x14ac:dyDescent="0.3">
      <c r="A105" t="s">
        <v>149</v>
      </c>
      <c r="B105">
        <v>35</v>
      </c>
      <c r="C105" t="s">
        <v>23</v>
      </c>
      <c r="D105" t="s">
        <v>16</v>
      </c>
      <c r="E105" t="s">
        <v>17</v>
      </c>
      <c r="F105" t="s">
        <v>18</v>
      </c>
      <c r="G105">
        <v>8</v>
      </c>
      <c r="H105">
        <v>7</v>
      </c>
      <c r="I105" t="s">
        <v>19</v>
      </c>
      <c r="J105">
        <v>3.7</v>
      </c>
      <c r="K105" t="s">
        <v>19</v>
      </c>
      <c r="L105">
        <v>58000</v>
      </c>
      <c r="M105" t="s">
        <v>29</v>
      </c>
      <c r="N105" t="s">
        <v>21</v>
      </c>
      <c r="O105">
        <v>0</v>
      </c>
    </row>
    <row r="106" spans="1:15" x14ac:dyDescent="0.3">
      <c r="A106" t="s">
        <v>150</v>
      </c>
      <c r="B106">
        <v>33</v>
      </c>
      <c r="C106" t="s">
        <v>23</v>
      </c>
      <c r="D106" t="s">
        <v>16</v>
      </c>
      <c r="E106" t="s">
        <v>41</v>
      </c>
      <c r="F106" t="s">
        <v>42</v>
      </c>
      <c r="G106">
        <v>7</v>
      </c>
      <c r="H106">
        <v>7</v>
      </c>
      <c r="I106" t="s">
        <v>19</v>
      </c>
      <c r="J106">
        <v>3.8</v>
      </c>
      <c r="K106" t="s">
        <v>19</v>
      </c>
      <c r="L106">
        <v>59000</v>
      </c>
      <c r="M106" t="s">
        <v>29</v>
      </c>
      <c r="N106" t="s">
        <v>21</v>
      </c>
      <c r="O106">
        <v>0</v>
      </c>
    </row>
    <row r="107" spans="1:15" x14ac:dyDescent="0.3">
      <c r="A107" t="s">
        <v>151</v>
      </c>
      <c r="B107">
        <v>34</v>
      </c>
      <c r="C107" t="s">
        <v>23</v>
      </c>
      <c r="D107" t="s">
        <v>16</v>
      </c>
      <c r="E107" t="s">
        <v>25</v>
      </c>
      <c r="F107" t="s">
        <v>26</v>
      </c>
      <c r="G107">
        <v>8</v>
      </c>
      <c r="H107">
        <v>8</v>
      </c>
      <c r="I107" t="s">
        <v>27</v>
      </c>
      <c r="J107">
        <v>4</v>
      </c>
      <c r="K107" t="s">
        <v>19</v>
      </c>
      <c r="L107">
        <v>60000</v>
      </c>
      <c r="M107" t="s">
        <v>29</v>
      </c>
      <c r="N107" t="s">
        <v>21</v>
      </c>
      <c r="O107">
        <v>0</v>
      </c>
    </row>
    <row r="108" spans="1:15" x14ac:dyDescent="0.3">
      <c r="A108" t="s">
        <v>152</v>
      </c>
      <c r="B108">
        <v>27</v>
      </c>
      <c r="C108" t="s">
        <v>15</v>
      </c>
      <c r="D108" t="s">
        <v>24</v>
      </c>
      <c r="E108" t="s">
        <v>31</v>
      </c>
      <c r="F108" t="s">
        <v>32</v>
      </c>
      <c r="G108">
        <v>3</v>
      </c>
      <c r="H108">
        <v>6</v>
      </c>
      <c r="I108" t="s">
        <v>33</v>
      </c>
      <c r="J108">
        <v>3.2</v>
      </c>
      <c r="K108" t="s">
        <v>48</v>
      </c>
      <c r="L108">
        <v>52000</v>
      </c>
      <c r="M108" t="s">
        <v>29</v>
      </c>
      <c r="N108" t="s">
        <v>21</v>
      </c>
      <c r="O108">
        <v>0</v>
      </c>
    </row>
    <row r="109" spans="1:15" x14ac:dyDescent="0.3">
      <c r="A109" t="s">
        <v>153</v>
      </c>
      <c r="B109">
        <v>38</v>
      </c>
      <c r="C109" t="s">
        <v>44</v>
      </c>
      <c r="D109" t="s">
        <v>16</v>
      </c>
      <c r="E109" t="s">
        <v>17</v>
      </c>
      <c r="F109" t="s">
        <v>18</v>
      </c>
      <c r="G109">
        <v>9</v>
      </c>
      <c r="H109">
        <v>8</v>
      </c>
      <c r="I109" t="s">
        <v>27</v>
      </c>
      <c r="J109">
        <v>4.2</v>
      </c>
      <c r="K109" t="s">
        <v>28</v>
      </c>
      <c r="L109">
        <v>62000</v>
      </c>
      <c r="M109" t="s">
        <v>19</v>
      </c>
      <c r="N109" t="s">
        <v>21</v>
      </c>
      <c r="O109">
        <v>0</v>
      </c>
    </row>
    <row r="110" spans="1:15" x14ac:dyDescent="0.3">
      <c r="A110" t="s">
        <v>154</v>
      </c>
      <c r="B110">
        <v>45</v>
      </c>
      <c r="C110" t="s">
        <v>35</v>
      </c>
      <c r="D110" t="s">
        <v>16</v>
      </c>
      <c r="E110" t="s">
        <v>45</v>
      </c>
      <c r="F110" t="s">
        <v>46</v>
      </c>
      <c r="G110">
        <v>15</v>
      </c>
      <c r="H110">
        <v>8</v>
      </c>
      <c r="I110" t="s">
        <v>27</v>
      </c>
      <c r="J110">
        <v>4.5999999999999996</v>
      </c>
      <c r="K110" t="s">
        <v>50</v>
      </c>
      <c r="L110">
        <v>67000</v>
      </c>
      <c r="M110" t="s">
        <v>19</v>
      </c>
      <c r="N110" t="s">
        <v>21</v>
      </c>
      <c r="O110">
        <v>0</v>
      </c>
    </row>
    <row r="111" spans="1:15" x14ac:dyDescent="0.3">
      <c r="A111" t="s">
        <v>155</v>
      </c>
      <c r="B111">
        <v>29</v>
      </c>
      <c r="C111" t="s">
        <v>15</v>
      </c>
      <c r="D111" t="s">
        <v>24</v>
      </c>
      <c r="E111" t="s">
        <v>41</v>
      </c>
      <c r="F111" t="s">
        <v>42</v>
      </c>
      <c r="G111">
        <v>4</v>
      </c>
      <c r="H111">
        <v>7</v>
      </c>
      <c r="I111" t="s">
        <v>19</v>
      </c>
      <c r="J111">
        <v>3.3</v>
      </c>
      <c r="K111" t="s">
        <v>48</v>
      </c>
      <c r="L111">
        <v>53000</v>
      </c>
      <c r="M111" t="s">
        <v>29</v>
      </c>
      <c r="N111" t="s">
        <v>21</v>
      </c>
      <c r="O111">
        <v>0</v>
      </c>
    </row>
    <row r="112" spans="1:15" x14ac:dyDescent="0.3">
      <c r="A112" t="s">
        <v>156</v>
      </c>
      <c r="B112">
        <v>31</v>
      </c>
      <c r="C112" t="s">
        <v>23</v>
      </c>
      <c r="D112" t="s">
        <v>16</v>
      </c>
      <c r="E112" t="s">
        <v>31</v>
      </c>
      <c r="F112" t="s">
        <v>32</v>
      </c>
      <c r="G112">
        <v>5</v>
      </c>
      <c r="H112">
        <v>6</v>
      </c>
      <c r="I112" t="s">
        <v>33</v>
      </c>
      <c r="J112">
        <v>3.4</v>
      </c>
      <c r="K112" t="s">
        <v>48</v>
      </c>
      <c r="L112">
        <v>54000</v>
      </c>
      <c r="M112" t="s">
        <v>29</v>
      </c>
      <c r="N112" t="s">
        <v>21</v>
      </c>
      <c r="O112">
        <v>0</v>
      </c>
    </row>
    <row r="113" spans="1:15" x14ac:dyDescent="0.3">
      <c r="A113" t="s">
        <v>157</v>
      </c>
      <c r="B113">
        <v>44</v>
      </c>
      <c r="C113" t="s">
        <v>35</v>
      </c>
      <c r="D113" t="s">
        <v>24</v>
      </c>
      <c r="E113" t="s">
        <v>36</v>
      </c>
      <c r="F113" t="s">
        <v>37</v>
      </c>
      <c r="G113">
        <v>11</v>
      </c>
      <c r="H113">
        <v>9</v>
      </c>
      <c r="I113" t="s">
        <v>38</v>
      </c>
      <c r="J113">
        <v>4.0999999999999996</v>
      </c>
      <c r="K113" t="s">
        <v>28</v>
      </c>
      <c r="L113">
        <v>64000</v>
      </c>
      <c r="M113" t="s">
        <v>19</v>
      </c>
      <c r="N113" t="s">
        <v>21</v>
      </c>
      <c r="O113">
        <v>0</v>
      </c>
    </row>
    <row r="114" spans="1:15" x14ac:dyDescent="0.3">
      <c r="A114" t="s">
        <v>158</v>
      </c>
      <c r="B114">
        <v>37</v>
      </c>
      <c r="C114" t="s">
        <v>44</v>
      </c>
      <c r="D114" t="s">
        <v>16</v>
      </c>
      <c r="E114" t="s">
        <v>17</v>
      </c>
      <c r="F114" t="s">
        <v>18</v>
      </c>
      <c r="G114">
        <v>7</v>
      </c>
      <c r="H114">
        <v>7</v>
      </c>
      <c r="I114" t="s">
        <v>19</v>
      </c>
      <c r="J114">
        <v>3.5</v>
      </c>
      <c r="K114" t="s">
        <v>48</v>
      </c>
      <c r="L114">
        <v>56000</v>
      </c>
      <c r="M114" t="s">
        <v>29</v>
      </c>
      <c r="N114" t="s">
        <v>21</v>
      </c>
      <c r="O114">
        <v>0</v>
      </c>
    </row>
    <row r="115" spans="1:15" x14ac:dyDescent="0.3">
      <c r="A115" t="s">
        <v>159</v>
      </c>
      <c r="B115">
        <v>39</v>
      </c>
      <c r="C115" t="s">
        <v>44</v>
      </c>
      <c r="D115" t="s">
        <v>16</v>
      </c>
      <c r="E115" t="s">
        <v>41</v>
      </c>
      <c r="F115" t="s">
        <v>42</v>
      </c>
      <c r="G115">
        <v>8</v>
      </c>
      <c r="H115">
        <v>8</v>
      </c>
      <c r="I115" t="s">
        <v>27</v>
      </c>
      <c r="J115">
        <v>3.6</v>
      </c>
      <c r="K115" t="s">
        <v>19</v>
      </c>
      <c r="L115">
        <v>57000</v>
      </c>
      <c r="M115" t="s">
        <v>29</v>
      </c>
      <c r="N115" t="s">
        <v>21</v>
      </c>
      <c r="O115">
        <v>0</v>
      </c>
    </row>
    <row r="116" spans="1:15" x14ac:dyDescent="0.3">
      <c r="A116" t="s">
        <v>160</v>
      </c>
      <c r="B116">
        <v>35</v>
      </c>
      <c r="C116" t="s">
        <v>23</v>
      </c>
      <c r="D116" t="s">
        <v>24</v>
      </c>
      <c r="E116" t="s">
        <v>25</v>
      </c>
      <c r="F116" t="s">
        <v>26</v>
      </c>
      <c r="G116">
        <v>6</v>
      </c>
      <c r="H116">
        <v>7</v>
      </c>
      <c r="I116" t="s">
        <v>19</v>
      </c>
      <c r="J116">
        <v>3.7</v>
      </c>
      <c r="K116" t="s">
        <v>19</v>
      </c>
      <c r="L116">
        <v>58000</v>
      </c>
      <c r="M116" t="s">
        <v>29</v>
      </c>
      <c r="N116" t="s">
        <v>21</v>
      </c>
      <c r="O116">
        <v>0</v>
      </c>
    </row>
    <row r="117" spans="1:15" x14ac:dyDescent="0.3">
      <c r="A117" t="s">
        <v>161</v>
      </c>
      <c r="B117">
        <v>36</v>
      </c>
      <c r="C117" t="s">
        <v>44</v>
      </c>
      <c r="D117" t="s">
        <v>16</v>
      </c>
      <c r="E117" t="s">
        <v>31</v>
      </c>
      <c r="F117" t="s">
        <v>26</v>
      </c>
      <c r="G117">
        <v>7</v>
      </c>
      <c r="H117">
        <v>7</v>
      </c>
      <c r="I117" t="s">
        <v>19</v>
      </c>
      <c r="J117">
        <v>3.8</v>
      </c>
      <c r="K117" t="s">
        <v>19</v>
      </c>
      <c r="L117">
        <v>59000</v>
      </c>
      <c r="M117" t="s">
        <v>29</v>
      </c>
      <c r="N117" t="s">
        <v>21</v>
      </c>
      <c r="O117">
        <v>0</v>
      </c>
    </row>
    <row r="118" spans="1:15" x14ac:dyDescent="0.3">
      <c r="A118" t="s">
        <v>162</v>
      </c>
      <c r="B118">
        <v>30</v>
      </c>
      <c r="C118" t="s">
        <v>15</v>
      </c>
      <c r="D118" t="s">
        <v>16</v>
      </c>
      <c r="E118" t="s">
        <v>17</v>
      </c>
      <c r="F118" t="s">
        <v>18</v>
      </c>
      <c r="G118">
        <v>5</v>
      </c>
      <c r="H118">
        <v>6</v>
      </c>
      <c r="I118" t="s">
        <v>33</v>
      </c>
      <c r="J118">
        <v>3.9</v>
      </c>
      <c r="K118" t="s">
        <v>19</v>
      </c>
      <c r="L118">
        <v>60000</v>
      </c>
      <c r="M118" t="s">
        <v>29</v>
      </c>
      <c r="N118" t="s">
        <v>21</v>
      </c>
      <c r="O118">
        <v>0</v>
      </c>
    </row>
    <row r="119" spans="1:15" x14ac:dyDescent="0.3">
      <c r="A119" t="s">
        <v>163</v>
      </c>
      <c r="B119">
        <v>31</v>
      </c>
      <c r="C119" t="s">
        <v>23</v>
      </c>
      <c r="D119" t="s">
        <v>24</v>
      </c>
      <c r="E119" t="s">
        <v>45</v>
      </c>
      <c r="F119" t="s">
        <v>46</v>
      </c>
      <c r="G119">
        <v>6</v>
      </c>
      <c r="H119">
        <v>7</v>
      </c>
      <c r="I119" t="s">
        <v>19</v>
      </c>
      <c r="J119">
        <v>4</v>
      </c>
      <c r="K119" t="s">
        <v>19</v>
      </c>
      <c r="L119">
        <v>61000</v>
      </c>
      <c r="M119" t="s">
        <v>19</v>
      </c>
      <c r="N119" t="s">
        <v>21</v>
      </c>
      <c r="O119">
        <v>0</v>
      </c>
    </row>
    <row r="120" spans="1:15" x14ac:dyDescent="0.3">
      <c r="A120" t="s">
        <v>164</v>
      </c>
      <c r="B120">
        <v>38</v>
      </c>
      <c r="C120" t="s">
        <v>44</v>
      </c>
      <c r="D120" t="s">
        <v>16</v>
      </c>
      <c r="E120" t="s">
        <v>41</v>
      </c>
      <c r="F120" t="s">
        <v>42</v>
      </c>
      <c r="G120">
        <v>9</v>
      </c>
      <c r="H120">
        <v>8</v>
      </c>
      <c r="I120" t="s">
        <v>27</v>
      </c>
      <c r="J120">
        <v>4.2</v>
      </c>
      <c r="K120" t="s">
        <v>28</v>
      </c>
      <c r="L120">
        <v>62000</v>
      </c>
      <c r="M120" t="s">
        <v>19</v>
      </c>
      <c r="N120" t="s">
        <v>21</v>
      </c>
      <c r="O120">
        <v>0</v>
      </c>
    </row>
    <row r="121" spans="1:15" x14ac:dyDescent="0.3">
      <c r="A121" t="s">
        <v>165</v>
      </c>
      <c r="B121">
        <v>34</v>
      </c>
      <c r="C121" t="s">
        <v>23</v>
      </c>
      <c r="D121" t="s">
        <v>16</v>
      </c>
      <c r="E121" t="s">
        <v>31</v>
      </c>
      <c r="F121" t="s">
        <v>32</v>
      </c>
      <c r="G121">
        <v>8</v>
      </c>
      <c r="H121">
        <v>8</v>
      </c>
      <c r="I121" t="s">
        <v>27</v>
      </c>
      <c r="J121">
        <v>4.3</v>
      </c>
      <c r="K121" t="s">
        <v>28</v>
      </c>
      <c r="L121">
        <v>63000</v>
      </c>
      <c r="M121" t="s">
        <v>19</v>
      </c>
      <c r="N121" t="s">
        <v>21</v>
      </c>
      <c r="O121">
        <v>0</v>
      </c>
    </row>
    <row r="122" spans="1:15" x14ac:dyDescent="0.3">
      <c r="A122" t="s">
        <v>166</v>
      </c>
      <c r="B122">
        <v>37</v>
      </c>
      <c r="C122" t="s">
        <v>44</v>
      </c>
      <c r="D122" t="s">
        <v>24</v>
      </c>
      <c r="E122" t="s">
        <v>17</v>
      </c>
      <c r="F122" t="s">
        <v>18</v>
      </c>
      <c r="G122">
        <v>9</v>
      </c>
      <c r="H122">
        <v>8</v>
      </c>
      <c r="I122" t="s">
        <v>27</v>
      </c>
      <c r="J122">
        <v>4.4000000000000004</v>
      </c>
      <c r="K122" t="s">
        <v>28</v>
      </c>
      <c r="L122">
        <v>64000</v>
      </c>
      <c r="M122" t="s">
        <v>19</v>
      </c>
      <c r="N122" t="s">
        <v>21</v>
      </c>
      <c r="O122">
        <v>0</v>
      </c>
    </row>
    <row r="123" spans="1:15" x14ac:dyDescent="0.3">
      <c r="A123" t="s">
        <v>167</v>
      </c>
      <c r="B123">
        <v>40</v>
      </c>
      <c r="C123" t="s">
        <v>44</v>
      </c>
      <c r="D123" t="s">
        <v>16</v>
      </c>
      <c r="E123" t="s">
        <v>25</v>
      </c>
      <c r="F123" t="s">
        <v>26</v>
      </c>
      <c r="G123">
        <v>10</v>
      </c>
      <c r="H123">
        <v>8</v>
      </c>
      <c r="I123" t="s">
        <v>27</v>
      </c>
      <c r="J123">
        <v>4.5</v>
      </c>
      <c r="K123" t="s">
        <v>28</v>
      </c>
      <c r="L123">
        <v>65000</v>
      </c>
      <c r="M123" t="s">
        <v>19</v>
      </c>
      <c r="N123" t="s">
        <v>21</v>
      </c>
      <c r="O123">
        <v>0</v>
      </c>
    </row>
    <row r="124" spans="1:15" x14ac:dyDescent="0.3">
      <c r="A124" t="s">
        <v>168</v>
      </c>
      <c r="B124">
        <v>36</v>
      </c>
      <c r="C124" t="s">
        <v>44</v>
      </c>
      <c r="D124" t="s">
        <v>16</v>
      </c>
      <c r="E124" t="s">
        <v>36</v>
      </c>
      <c r="F124" t="s">
        <v>37</v>
      </c>
      <c r="G124">
        <v>7</v>
      </c>
      <c r="H124">
        <v>7</v>
      </c>
      <c r="I124" t="s">
        <v>19</v>
      </c>
      <c r="J124">
        <v>4.5999999999999996</v>
      </c>
      <c r="K124" t="s">
        <v>50</v>
      </c>
      <c r="L124">
        <v>66000</v>
      </c>
      <c r="M124" t="s">
        <v>19</v>
      </c>
      <c r="N124" t="s">
        <v>21</v>
      </c>
      <c r="O124">
        <v>0</v>
      </c>
    </row>
    <row r="125" spans="1:15" x14ac:dyDescent="0.3">
      <c r="A125" t="s">
        <v>169</v>
      </c>
      <c r="B125">
        <v>29</v>
      </c>
      <c r="C125" t="s">
        <v>15</v>
      </c>
      <c r="D125" t="s">
        <v>16</v>
      </c>
      <c r="E125" t="s">
        <v>31</v>
      </c>
      <c r="F125" t="s">
        <v>32</v>
      </c>
      <c r="G125">
        <v>4</v>
      </c>
      <c r="H125">
        <v>6</v>
      </c>
      <c r="I125" t="s">
        <v>33</v>
      </c>
      <c r="J125">
        <v>3</v>
      </c>
      <c r="K125" t="s">
        <v>66</v>
      </c>
      <c r="L125">
        <v>49000</v>
      </c>
      <c r="M125" t="s">
        <v>20</v>
      </c>
      <c r="N125" t="s">
        <v>21</v>
      </c>
      <c r="O125">
        <v>0</v>
      </c>
    </row>
    <row r="126" spans="1:15" x14ac:dyDescent="0.3">
      <c r="A126" t="s">
        <v>170</v>
      </c>
      <c r="B126">
        <v>30</v>
      </c>
      <c r="C126" t="s">
        <v>15</v>
      </c>
      <c r="D126" t="s">
        <v>16</v>
      </c>
      <c r="E126" t="s">
        <v>17</v>
      </c>
      <c r="F126" t="s">
        <v>18</v>
      </c>
      <c r="G126">
        <v>5</v>
      </c>
      <c r="H126">
        <v>7</v>
      </c>
      <c r="I126" t="s">
        <v>19</v>
      </c>
      <c r="J126">
        <v>3.1</v>
      </c>
      <c r="K126" t="s">
        <v>48</v>
      </c>
      <c r="L126">
        <v>50000</v>
      </c>
      <c r="M126" t="s">
        <v>20</v>
      </c>
      <c r="N126" t="s">
        <v>21</v>
      </c>
      <c r="O126">
        <v>0</v>
      </c>
    </row>
    <row r="127" spans="1:15" x14ac:dyDescent="0.3">
      <c r="A127" t="s">
        <v>171</v>
      </c>
      <c r="B127">
        <v>41</v>
      </c>
      <c r="C127" t="s">
        <v>35</v>
      </c>
      <c r="D127" t="s">
        <v>24</v>
      </c>
      <c r="E127" t="s">
        <v>41</v>
      </c>
      <c r="F127" t="s">
        <v>42</v>
      </c>
      <c r="G127">
        <v>11</v>
      </c>
      <c r="H127">
        <v>9</v>
      </c>
      <c r="I127" t="s">
        <v>38</v>
      </c>
      <c r="J127">
        <v>4.7</v>
      </c>
      <c r="K127" t="s">
        <v>50</v>
      </c>
      <c r="L127">
        <v>67000</v>
      </c>
      <c r="M127" t="s">
        <v>19</v>
      </c>
      <c r="N127" t="s">
        <v>21</v>
      </c>
      <c r="O127">
        <v>0</v>
      </c>
    </row>
    <row r="128" spans="1:15" x14ac:dyDescent="0.3">
      <c r="A128" t="s">
        <v>172</v>
      </c>
      <c r="B128">
        <v>31</v>
      </c>
      <c r="C128" t="s">
        <v>23</v>
      </c>
      <c r="D128" t="s">
        <v>16</v>
      </c>
      <c r="E128" t="s">
        <v>25</v>
      </c>
      <c r="F128" t="s">
        <v>26</v>
      </c>
      <c r="G128">
        <v>6</v>
      </c>
      <c r="H128">
        <v>7</v>
      </c>
      <c r="I128" t="s">
        <v>19</v>
      </c>
      <c r="J128">
        <v>3.2</v>
      </c>
      <c r="K128" t="s">
        <v>48</v>
      </c>
      <c r="L128">
        <v>51000</v>
      </c>
      <c r="M128" t="s">
        <v>29</v>
      </c>
      <c r="N128" t="s">
        <v>21</v>
      </c>
      <c r="O128">
        <v>0</v>
      </c>
    </row>
    <row r="129" spans="1:15" x14ac:dyDescent="0.3">
      <c r="A129" t="s">
        <v>173</v>
      </c>
      <c r="B129">
        <v>28</v>
      </c>
      <c r="C129" t="s">
        <v>15</v>
      </c>
      <c r="D129" t="s">
        <v>16</v>
      </c>
      <c r="E129" t="s">
        <v>45</v>
      </c>
      <c r="F129" t="s">
        <v>46</v>
      </c>
      <c r="G129">
        <v>3</v>
      </c>
      <c r="H129">
        <v>6</v>
      </c>
      <c r="I129" t="s">
        <v>33</v>
      </c>
      <c r="J129">
        <v>3.3</v>
      </c>
      <c r="K129" t="s">
        <v>48</v>
      </c>
      <c r="L129">
        <v>52000</v>
      </c>
      <c r="M129" t="s">
        <v>29</v>
      </c>
      <c r="N129" t="s">
        <v>21</v>
      </c>
      <c r="O129">
        <v>0</v>
      </c>
    </row>
    <row r="130" spans="1:15" x14ac:dyDescent="0.3">
      <c r="A130" t="s">
        <v>174</v>
      </c>
      <c r="B130">
        <v>36</v>
      </c>
      <c r="C130" t="s">
        <v>44</v>
      </c>
      <c r="D130" t="s">
        <v>16</v>
      </c>
      <c r="E130" t="s">
        <v>17</v>
      </c>
      <c r="F130" t="s">
        <v>18</v>
      </c>
      <c r="G130">
        <v>7</v>
      </c>
      <c r="H130">
        <v>7</v>
      </c>
      <c r="I130" t="s">
        <v>19</v>
      </c>
      <c r="J130">
        <v>3.4</v>
      </c>
      <c r="K130" t="s">
        <v>48</v>
      </c>
      <c r="L130">
        <v>53000</v>
      </c>
      <c r="M130" t="s">
        <v>29</v>
      </c>
      <c r="N130" t="s">
        <v>21</v>
      </c>
      <c r="O130">
        <v>0</v>
      </c>
    </row>
    <row r="131" spans="1:15" x14ac:dyDescent="0.3">
      <c r="A131" t="s">
        <v>175</v>
      </c>
      <c r="B131">
        <v>30</v>
      </c>
      <c r="C131" t="s">
        <v>15</v>
      </c>
      <c r="D131" t="s">
        <v>24</v>
      </c>
      <c r="E131" t="s">
        <v>31</v>
      </c>
      <c r="F131" t="s">
        <v>32</v>
      </c>
      <c r="G131">
        <v>6</v>
      </c>
      <c r="H131">
        <v>7</v>
      </c>
      <c r="I131" t="s">
        <v>19</v>
      </c>
      <c r="J131">
        <v>3.5</v>
      </c>
      <c r="K131" t="s">
        <v>48</v>
      </c>
      <c r="L131">
        <v>54000</v>
      </c>
      <c r="M131" t="s">
        <v>29</v>
      </c>
      <c r="N131" t="s">
        <v>21</v>
      </c>
      <c r="O131">
        <v>0</v>
      </c>
    </row>
    <row r="132" spans="1:15" x14ac:dyDescent="0.3">
      <c r="A132" t="s">
        <v>176</v>
      </c>
      <c r="B132">
        <v>40</v>
      </c>
      <c r="C132" t="s">
        <v>44</v>
      </c>
      <c r="D132" t="s">
        <v>16</v>
      </c>
      <c r="E132" t="s">
        <v>36</v>
      </c>
      <c r="F132" t="s">
        <v>37</v>
      </c>
      <c r="G132">
        <v>8</v>
      </c>
      <c r="H132">
        <v>8</v>
      </c>
      <c r="I132" t="s">
        <v>27</v>
      </c>
      <c r="J132">
        <v>3.6</v>
      </c>
      <c r="K132" t="s">
        <v>19</v>
      </c>
      <c r="L132">
        <v>55000</v>
      </c>
      <c r="M132" t="s">
        <v>29</v>
      </c>
      <c r="N132" t="s">
        <v>21</v>
      </c>
      <c r="O132">
        <v>0</v>
      </c>
    </row>
    <row r="133" spans="1:15" x14ac:dyDescent="0.3">
      <c r="A133" t="s">
        <v>177</v>
      </c>
      <c r="B133">
        <v>35</v>
      </c>
      <c r="C133" t="s">
        <v>23</v>
      </c>
      <c r="D133" t="s">
        <v>16</v>
      </c>
      <c r="E133" t="s">
        <v>41</v>
      </c>
      <c r="F133" t="s">
        <v>42</v>
      </c>
      <c r="G133">
        <v>7</v>
      </c>
      <c r="H133">
        <v>7</v>
      </c>
      <c r="I133" t="s">
        <v>19</v>
      </c>
      <c r="J133">
        <v>3.7</v>
      </c>
      <c r="K133" t="s">
        <v>19</v>
      </c>
      <c r="L133">
        <v>56000</v>
      </c>
      <c r="M133" t="s">
        <v>29</v>
      </c>
      <c r="N133" t="s">
        <v>21</v>
      </c>
      <c r="O133">
        <v>0</v>
      </c>
    </row>
    <row r="134" spans="1:15" x14ac:dyDescent="0.3">
      <c r="A134" t="s">
        <v>178</v>
      </c>
      <c r="B134">
        <v>34</v>
      </c>
      <c r="C134" t="s">
        <v>23</v>
      </c>
      <c r="D134" t="s">
        <v>16</v>
      </c>
      <c r="E134" t="s">
        <v>25</v>
      </c>
      <c r="F134" t="s">
        <v>26</v>
      </c>
      <c r="G134">
        <v>6</v>
      </c>
      <c r="H134">
        <v>7</v>
      </c>
      <c r="I134" t="s">
        <v>19</v>
      </c>
      <c r="J134">
        <v>3.8</v>
      </c>
      <c r="K134" t="s">
        <v>19</v>
      </c>
      <c r="L134">
        <v>57000</v>
      </c>
      <c r="M134" t="s">
        <v>29</v>
      </c>
      <c r="N134" t="s">
        <v>21</v>
      </c>
      <c r="O134">
        <v>0</v>
      </c>
    </row>
    <row r="135" spans="1:15" x14ac:dyDescent="0.3">
      <c r="A135" t="s">
        <v>179</v>
      </c>
      <c r="B135">
        <v>26</v>
      </c>
      <c r="C135" t="s">
        <v>15</v>
      </c>
      <c r="D135" t="s">
        <v>24</v>
      </c>
      <c r="E135" t="s">
        <v>17</v>
      </c>
      <c r="F135" t="s">
        <v>18</v>
      </c>
      <c r="G135">
        <v>4</v>
      </c>
      <c r="H135">
        <v>6</v>
      </c>
      <c r="I135" t="s">
        <v>33</v>
      </c>
      <c r="J135">
        <v>3.9</v>
      </c>
      <c r="K135" t="s">
        <v>19</v>
      </c>
      <c r="L135">
        <v>58000</v>
      </c>
      <c r="M135" t="s">
        <v>29</v>
      </c>
      <c r="N135" t="s">
        <v>21</v>
      </c>
      <c r="O135">
        <v>0</v>
      </c>
    </row>
    <row r="136" spans="1:15" x14ac:dyDescent="0.3">
      <c r="A136" t="s">
        <v>180</v>
      </c>
      <c r="B136">
        <v>32</v>
      </c>
      <c r="C136" t="s">
        <v>23</v>
      </c>
      <c r="D136" t="s">
        <v>16</v>
      </c>
      <c r="E136" t="s">
        <v>31</v>
      </c>
      <c r="F136" t="s">
        <v>26</v>
      </c>
      <c r="G136">
        <v>6</v>
      </c>
      <c r="H136">
        <v>7</v>
      </c>
      <c r="I136" t="s">
        <v>19</v>
      </c>
      <c r="J136">
        <v>4</v>
      </c>
      <c r="K136" t="s">
        <v>19</v>
      </c>
      <c r="L136">
        <v>59000</v>
      </c>
      <c r="M136" t="s">
        <v>29</v>
      </c>
      <c r="N136" t="s">
        <v>21</v>
      </c>
      <c r="O136">
        <v>0</v>
      </c>
    </row>
    <row r="137" spans="1:15" x14ac:dyDescent="0.3">
      <c r="A137" t="s">
        <v>181</v>
      </c>
      <c r="B137">
        <v>44</v>
      </c>
      <c r="C137" t="s">
        <v>35</v>
      </c>
      <c r="D137" t="s">
        <v>16</v>
      </c>
      <c r="E137" t="s">
        <v>41</v>
      </c>
      <c r="F137" t="s">
        <v>42</v>
      </c>
      <c r="G137">
        <v>10</v>
      </c>
      <c r="H137">
        <v>8</v>
      </c>
      <c r="I137" t="s">
        <v>27</v>
      </c>
      <c r="J137">
        <v>4.0999999999999996</v>
      </c>
      <c r="K137" t="s">
        <v>28</v>
      </c>
      <c r="L137">
        <v>60000</v>
      </c>
      <c r="M137" t="s">
        <v>29</v>
      </c>
      <c r="N137" t="s">
        <v>21</v>
      </c>
      <c r="O137">
        <v>0</v>
      </c>
    </row>
    <row r="138" spans="1:15" x14ac:dyDescent="0.3">
      <c r="A138" t="s">
        <v>182</v>
      </c>
      <c r="B138">
        <v>28</v>
      </c>
      <c r="C138" t="s">
        <v>15</v>
      </c>
      <c r="D138" t="s">
        <v>16</v>
      </c>
      <c r="E138" t="s">
        <v>36</v>
      </c>
      <c r="F138" t="s">
        <v>37</v>
      </c>
      <c r="G138">
        <v>4</v>
      </c>
      <c r="H138">
        <v>6</v>
      </c>
      <c r="I138" t="s">
        <v>33</v>
      </c>
      <c r="J138">
        <v>3.2</v>
      </c>
      <c r="K138" t="s">
        <v>48</v>
      </c>
      <c r="L138">
        <v>51000</v>
      </c>
      <c r="M138" t="s">
        <v>29</v>
      </c>
      <c r="N138" t="s">
        <v>21</v>
      </c>
      <c r="O138">
        <v>0</v>
      </c>
    </row>
    <row r="139" spans="1:15" x14ac:dyDescent="0.3">
      <c r="A139" t="s">
        <v>183</v>
      </c>
      <c r="B139">
        <v>38</v>
      </c>
      <c r="C139" t="s">
        <v>44</v>
      </c>
      <c r="D139" t="s">
        <v>16</v>
      </c>
      <c r="E139" t="s">
        <v>17</v>
      </c>
      <c r="F139" t="s">
        <v>18</v>
      </c>
      <c r="G139">
        <v>8</v>
      </c>
      <c r="H139">
        <v>8</v>
      </c>
      <c r="I139" t="s">
        <v>27</v>
      </c>
      <c r="J139">
        <v>3.3</v>
      </c>
      <c r="K139" t="s">
        <v>48</v>
      </c>
      <c r="L139">
        <v>52000</v>
      </c>
      <c r="M139" t="s">
        <v>29</v>
      </c>
      <c r="N139" t="s">
        <v>21</v>
      </c>
      <c r="O139">
        <v>0</v>
      </c>
    </row>
    <row r="140" spans="1:15" x14ac:dyDescent="0.3">
      <c r="A140" t="s">
        <v>184</v>
      </c>
      <c r="B140">
        <v>45</v>
      </c>
      <c r="C140" t="s">
        <v>35</v>
      </c>
      <c r="D140" t="s">
        <v>16</v>
      </c>
      <c r="E140" t="s">
        <v>45</v>
      </c>
      <c r="F140" t="s">
        <v>46</v>
      </c>
      <c r="G140">
        <v>9</v>
      </c>
      <c r="H140">
        <v>8</v>
      </c>
      <c r="I140" t="s">
        <v>27</v>
      </c>
      <c r="J140">
        <v>3.4</v>
      </c>
      <c r="K140" t="s">
        <v>48</v>
      </c>
      <c r="L140">
        <v>53000</v>
      </c>
      <c r="M140" t="s">
        <v>29</v>
      </c>
      <c r="N140" t="s">
        <v>21</v>
      </c>
      <c r="O140">
        <v>0</v>
      </c>
    </row>
    <row r="141" spans="1:15" x14ac:dyDescent="0.3">
      <c r="A141" t="s">
        <v>185</v>
      </c>
      <c r="B141">
        <v>29</v>
      </c>
      <c r="C141" t="s">
        <v>15</v>
      </c>
      <c r="D141" t="s">
        <v>24</v>
      </c>
      <c r="E141" t="s">
        <v>31</v>
      </c>
      <c r="F141" t="s">
        <v>32</v>
      </c>
      <c r="G141">
        <v>5</v>
      </c>
      <c r="H141">
        <v>6</v>
      </c>
      <c r="I141" t="s">
        <v>33</v>
      </c>
      <c r="J141">
        <v>3.5</v>
      </c>
      <c r="K141" t="s">
        <v>48</v>
      </c>
      <c r="L141">
        <v>54000</v>
      </c>
      <c r="M141" t="s">
        <v>29</v>
      </c>
      <c r="N141" t="s">
        <v>21</v>
      </c>
      <c r="O141">
        <v>0</v>
      </c>
    </row>
    <row r="142" spans="1:15" x14ac:dyDescent="0.3">
      <c r="A142" t="s">
        <v>186</v>
      </c>
      <c r="B142">
        <v>31</v>
      </c>
      <c r="C142" t="s">
        <v>23</v>
      </c>
      <c r="D142" t="s">
        <v>16</v>
      </c>
      <c r="E142" t="s">
        <v>41</v>
      </c>
      <c r="F142" t="s">
        <v>42</v>
      </c>
      <c r="G142">
        <v>6</v>
      </c>
      <c r="H142">
        <v>7</v>
      </c>
      <c r="I142" t="s">
        <v>19</v>
      </c>
      <c r="J142">
        <v>3.6</v>
      </c>
      <c r="K142" t="s">
        <v>19</v>
      </c>
      <c r="L142">
        <v>55000</v>
      </c>
      <c r="M142" t="s">
        <v>29</v>
      </c>
      <c r="N142" t="s">
        <v>21</v>
      </c>
      <c r="O142">
        <v>0</v>
      </c>
    </row>
    <row r="143" spans="1:15" x14ac:dyDescent="0.3">
      <c r="A143" t="s">
        <v>187</v>
      </c>
      <c r="B143">
        <v>36</v>
      </c>
      <c r="C143" t="s">
        <v>44</v>
      </c>
      <c r="D143" t="s">
        <v>24</v>
      </c>
      <c r="E143" t="s">
        <v>25</v>
      </c>
      <c r="F143" t="s">
        <v>26</v>
      </c>
      <c r="G143">
        <v>7</v>
      </c>
      <c r="H143">
        <v>7</v>
      </c>
      <c r="I143" t="s">
        <v>19</v>
      </c>
      <c r="J143">
        <v>3.7</v>
      </c>
      <c r="K143" t="s">
        <v>19</v>
      </c>
      <c r="L143">
        <v>56000</v>
      </c>
      <c r="M143" t="s">
        <v>29</v>
      </c>
      <c r="N143" t="s">
        <v>21</v>
      </c>
      <c r="O143">
        <v>0</v>
      </c>
    </row>
    <row r="144" spans="1:15" x14ac:dyDescent="0.3">
      <c r="A144" t="s">
        <v>188</v>
      </c>
      <c r="B144">
        <v>39</v>
      </c>
      <c r="C144" t="s">
        <v>44</v>
      </c>
      <c r="D144" t="s">
        <v>16</v>
      </c>
      <c r="E144" t="s">
        <v>17</v>
      </c>
      <c r="F144" t="s">
        <v>18</v>
      </c>
      <c r="G144">
        <v>8</v>
      </c>
      <c r="H144">
        <v>8</v>
      </c>
      <c r="I144" t="s">
        <v>27</v>
      </c>
      <c r="J144">
        <v>3.8</v>
      </c>
      <c r="K144" t="s">
        <v>19</v>
      </c>
      <c r="L144">
        <v>57000</v>
      </c>
      <c r="M144" t="s">
        <v>29</v>
      </c>
      <c r="N144" t="s">
        <v>21</v>
      </c>
      <c r="O144">
        <v>0</v>
      </c>
    </row>
    <row r="145" spans="1:15" x14ac:dyDescent="0.3">
      <c r="A145" t="s">
        <v>189</v>
      </c>
      <c r="B145">
        <v>33</v>
      </c>
      <c r="C145" t="s">
        <v>23</v>
      </c>
      <c r="D145" t="s">
        <v>16</v>
      </c>
      <c r="E145" t="s">
        <v>36</v>
      </c>
      <c r="F145" t="s">
        <v>37</v>
      </c>
      <c r="G145">
        <v>7</v>
      </c>
      <c r="H145">
        <v>7</v>
      </c>
      <c r="I145" t="s">
        <v>19</v>
      </c>
      <c r="J145">
        <v>3.9</v>
      </c>
      <c r="K145" t="s">
        <v>19</v>
      </c>
      <c r="L145">
        <v>58000</v>
      </c>
      <c r="M145" t="s">
        <v>29</v>
      </c>
      <c r="N145" t="s">
        <v>21</v>
      </c>
      <c r="O145">
        <v>0</v>
      </c>
    </row>
    <row r="146" spans="1:15" x14ac:dyDescent="0.3">
      <c r="A146" t="s">
        <v>190</v>
      </c>
      <c r="B146">
        <v>34</v>
      </c>
      <c r="C146" t="s">
        <v>23</v>
      </c>
      <c r="D146" t="s">
        <v>16</v>
      </c>
      <c r="E146" t="s">
        <v>41</v>
      </c>
      <c r="F146" t="s">
        <v>42</v>
      </c>
      <c r="G146">
        <v>8</v>
      </c>
      <c r="H146">
        <v>8</v>
      </c>
      <c r="I146" t="s">
        <v>27</v>
      </c>
      <c r="J146">
        <v>4</v>
      </c>
      <c r="K146" t="s">
        <v>19</v>
      </c>
      <c r="L146">
        <v>59000</v>
      </c>
      <c r="M146" t="s">
        <v>29</v>
      </c>
      <c r="N146" t="s">
        <v>21</v>
      </c>
      <c r="O146">
        <v>0</v>
      </c>
    </row>
    <row r="147" spans="1:15" x14ac:dyDescent="0.3">
      <c r="A147" t="s">
        <v>191</v>
      </c>
      <c r="B147">
        <v>27</v>
      </c>
      <c r="C147" t="s">
        <v>15</v>
      </c>
      <c r="D147" t="s">
        <v>24</v>
      </c>
      <c r="E147" t="s">
        <v>31</v>
      </c>
      <c r="F147" t="s">
        <v>26</v>
      </c>
      <c r="G147">
        <v>3</v>
      </c>
      <c r="H147">
        <v>6</v>
      </c>
      <c r="I147" t="s">
        <v>33</v>
      </c>
      <c r="J147">
        <v>3.1</v>
      </c>
      <c r="K147" t="s">
        <v>48</v>
      </c>
      <c r="L147">
        <v>50000</v>
      </c>
      <c r="M147" t="s">
        <v>20</v>
      </c>
      <c r="N147" t="s">
        <v>21</v>
      </c>
      <c r="O147">
        <v>0</v>
      </c>
    </row>
    <row r="148" spans="1:15" x14ac:dyDescent="0.3">
      <c r="A148" t="s">
        <v>192</v>
      </c>
      <c r="B148">
        <v>38</v>
      </c>
      <c r="C148" t="s">
        <v>44</v>
      </c>
      <c r="D148" t="s">
        <v>16</v>
      </c>
      <c r="E148" t="s">
        <v>17</v>
      </c>
      <c r="F148" t="s">
        <v>18</v>
      </c>
      <c r="G148">
        <v>9</v>
      </c>
      <c r="H148">
        <v>8</v>
      </c>
      <c r="I148" t="s">
        <v>27</v>
      </c>
      <c r="J148">
        <v>4.2</v>
      </c>
      <c r="K148" t="s">
        <v>28</v>
      </c>
      <c r="L148">
        <v>62000</v>
      </c>
      <c r="M148" t="s">
        <v>19</v>
      </c>
      <c r="N148" t="s">
        <v>21</v>
      </c>
      <c r="O148">
        <v>0</v>
      </c>
    </row>
    <row r="149" spans="1:15" x14ac:dyDescent="0.3">
      <c r="A149" t="s">
        <v>193</v>
      </c>
      <c r="B149">
        <v>45</v>
      </c>
      <c r="C149" t="s">
        <v>35</v>
      </c>
      <c r="D149" t="s">
        <v>16</v>
      </c>
      <c r="E149" t="s">
        <v>45</v>
      </c>
      <c r="F149" t="s">
        <v>46</v>
      </c>
      <c r="G149">
        <v>10</v>
      </c>
      <c r="H149">
        <v>8</v>
      </c>
      <c r="I149" t="s">
        <v>27</v>
      </c>
      <c r="J149">
        <v>4.3</v>
      </c>
      <c r="K149" t="s">
        <v>28</v>
      </c>
      <c r="L149">
        <v>63000</v>
      </c>
      <c r="M149" t="s">
        <v>19</v>
      </c>
      <c r="N149" t="s">
        <v>21</v>
      </c>
      <c r="O149">
        <v>0</v>
      </c>
    </row>
    <row r="150" spans="1:15" x14ac:dyDescent="0.3">
      <c r="A150" t="s">
        <v>194</v>
      </c>
      <c r="B150">
        <v>29</v>
      </c>
      <c r="C150" t="s">
        <v>15</v>
      </c>
      <c r="D150" t="s">
        <v>16</v>
      </c>
      <c r="E150" t="s">
        <v>41</v>
      </c>
      <c r="F150" t="s">
        <v>42</v>
      </c>
      <c r="G150">
        <v>4</v>
      </c>
      <c r="H150">
        <v>7</v>
      </c>
      <c r="I150" t="s">
        <v>19</v>
      </c>
      <c r="J150">
        <v>3.4</v>
      </c>
      <c r="K150" t="s">
        <v>48</v>
      </c>
      <c r="L150">
        <v>53000</v>
      </c>
      <c r="M150" t="s">
        <v>29</v>
      </c>
      <c r="N150" t="s">
        <v>21</v>
      </c>
      <c r="O150">
        <v>0</v>
      </c>
    </row>
    <row r="151" spans="1:15" x14ac:dyDescent="0.3">
      <c r="A151" t="s">
        <v>195</v>
      </c>
      <c r="B151">
        <v>31</v>
      </c>
      <c r="C151" t="s">
        <v>23</v>
      </c>
      <c r="D151" t="s">
        <v>24</v>
      </c>
      <c r="E151" t="s">
        <v>25</v>
      </c>
      <c r="F151" t="s">
        <v>26</v>
      </c>
      <c r="G151">
        <v>6</v>
      </c>
      <c r="H151">
        <v>7</v>
      </c>
      <c r="I151" t="s">
        <v>19</v>
      </c>
      <c r="J151">
        <v>3.5</v>
      </c>
      <c r="K151" t="s">
        <v>48</v>
      </c>
      <c r="L151">
        <v>54000</v>
      </c>
      <c r="M151" t="s">
        <v>29</v>
      </c>
      <c r="N151" t="s">
        <v>21</v>
      </c>
      <c r="O151">
        <v>0</v>
      </c>
    </row>
    <row r="152" spans="1:15" x14ac:dyDescent="0.3">
      <c r="A152" t="s">
        <v>196</v>
      </c>
      <c r="B152">
        <v>33</v>
      </c>
      <c r="C152" t="s">
        <v>23</v>
      </c>
      <c r="D152" t="s">
        <v>16</v>
      </c>
      <c r="E152" t="s">
        <v>36</v>
      </c>
      <c r="F152" t="s">
        <v>37</v>
      </c>
      <c r="G152">
        <v>7</v>
      </c>
      <c r="H152">
        <v>7</v>
      </c>
      <c r="I152" t="s">
        <v>19</v>
      </c>
      <c r="J152">
        <v>3.6</v>
      </c>
      <c r="K152" t="s">
        <v>19</v>
      </c>
      <c r="L152">
        <v>55000</v>
      </c>
      <c r="M152" t="s">
        <v>29</v>
      </c>
      <c r="N152" t="s">
        <v>21</v>
      </c>
      <c r="O152">
        <v>0</v>
      </c>
    </row>
    <row r="153" spans="1:15" x14ac:dyDescent="0.3">
      <c r="A153" t="s">
        <v>197</v>
      </c>
      <c r="B153">
        <v>34</v>
      </c>
      <c r="C153" t="s">
        <v>23</v>
      </c>
      <c r="D153" t="s">
        <v>16</v>
      </c>
      <c r="E153" t="s">
        <v>31</v>
      </c>
      <c r="F153" t="s">
        <v>32</v>
      </c>
      <c r="G153">
        <v>8</v>
      </c>
      <c r="H153">
        <v>8</v>
      </c>
      <c r="I153" t="s">
        <v>27</v>
      </c>
      <c r="J153">
        <v>3.7</v>
      </c>
      <c r="K153" t="s">
        <v>19</v>
      </c>
      <c r="L153">
        <v>56000</v>
      </c>
      <c r="M153" t="s">
        <v>29</v>
      </c>
      <c r="N153" t="s">
        <v>21</v>
      </c>
      <c r="O153">
        <v>0</v>
      </c>
    </row>
    <row r="154" spans="1:15" x14ac:dyDescent="0.3">
      <c r="A154" t="s">
        <v>198</v>
      </c>
      <c r="B154">
        <v>26</v>
      </c>
      <c r="C154" t="s">
        <v>15</v>
      </c>
      <c r="D154" t="s">
        <v>24</v>
      </c>
      <c r="E154" t="s">
        <v>17</v>
      </c>
      <c r="F154" t="s">
        <v>18</v>
      </c>
      <c r="G154">
        <v>4</v>
      </c>
      <c r="H154">
        <v>6</v>
      </c>
      <c r="I154" t="s">
        <v>33</v>
      </c>
      <c r="J154">
        <v>3.8</v>
      </c>
      <c r="K154" t="s">
        <v>19</v>
      </c>
      <c r="L154">
        <v>57000</v>
      </c>
      <c r="M154" t="s">
        <v>29</v>
      </c>
      <c r="N154" t="s">
        <v>21</v>
      </c>
      <c r="O154">
        <v>0</v>
      </c>
    </row>
    <row r="155" spans="1:15" x14ac:dyDescent="0.3">
      <c r="A155" t="s">
        <v>199</v>
      </c>
      <c r="B155">
        <v>32</v>
      </c>
      <c r="C155" t="s">
        <v>23</v>
      </c>
      <c r="D155" t="s">
        <v>16</v>
      </c>
      <c r="E155" t="s">
        <v>41</v>
      </c>
      <c r="F155" t="s">
        <v>42</v>
      </c>
      <c r="G155">
        <v>6</v>
      </c>
      <c r="H155">
        <v>7</v>
      </c>
      <c r="I155" t="s">
        <v>19</v>
      </c>
      <c r="J155">
        <v>3.9</v>
      </c>
      <c r="K155" t="s">
        <v>19</v>
      </c>
      <c r="L155">
        <v>58000</v>
      </c>
      <c r="M155" t="s">
        <v>29</v>
      </c>
      <c r="N155" t="s">
        <v>21</v>
      </c>
      <c r="O155">
        <v>0</v>
      </c>
    </row>
    <row r="156" spans="1:15" x14ac:dyDescent="0.3">
      <c r="A156" t="s">
        <v>200</v>
      </c>
      <c r="B156">
        <v>44</v>
      </c>
      <c r="C156" t="s">
        <v>35</v>
      </c>
      <c r="D156" t="s">
        <v>16</v>
      </c>
      <c r="E156" t="s">
        <v>25</v>
      </c>
      <c r="F156" t="s">
        <v>26</v>
      </c>
      <c r="G156">
        <v>10</v>
      </c>
      <c r="H156">
        <v>8</v>
      </c>
      <c r="I156" t="s">
        <v>27</v>
      </c>
      <c r="J156">
        <v>4</v>
      </c>
      <c r="K156" t="s">
        <v>19</v>
      </c>
      <c r="L156">
        <v>59000</v>
      </c>
      <c r="M156" t="s">
        <v>29</v>
      </c>
      <c r="N156" t="s">
        <v>21</v>
      </c>
      <c r="O156">
        <v>0</v>
      </c>
    </row>
    <row r="157" spans="1:15" x14ac:dyDescent="0.3">
      <c r="A157" t="s">
        <v>201</v>
      </c>
      <c r="B157">
        <v>28</v>
      </c>
      <c r="C157" t="s">
        <v>15</v>
      </c>
      <c r="D157" t="s">
        <v>16</v>
      </c>
      <c r="E157" t="s">
        <v>45</v>
      </c>
      <c r="F157" t="s">
        <v>46</v>
      </c>
      <c r="G157">
        <v>4</v>
      </c>
      <c r="H157">
        <v>6</v>
      </c>
      <c r="I157" t="s">
        <v>33</v>
      </c>
      <c r="J157">
        <v>4.0999999999999996</v>
      </c>
      <c r="K157" t="s">
        <v>28</v>
      </c>
      <c r="L157">
        <v>60000</v>
      </c>
      <c r="M157" t="s">
        <v>29</v>
      </c>
      <c r="N157" t="s">
        <v>21</v>
      </c>
      <c r="O157">
        <v>0</v>
      </c>
    </row>
    <row r="158" spans="1:15" x14ac:dyDescent="0.3">
      <c r="A158" t="s">
        <v>202</v>
      </c>
      <c r="B158">
        <v>38</v>
      </c>
      <c r="C158" t="s">
        <v>44</v>
      </c>
      <c r="D158" t="s">
        <v>16</v>
      </c>
      <c r="E158" t="s">
        <v>17</v>
      </c>
      <c r="F158" t="s">
        <v>18</v>
      </c>
      <c r="G158">
        <v>8</v>
      </c>
      <c r="H158">
        <v>8</v>
      </c>
      <c r="I158" t="s">
        <v>27</v>
      </c>
      <c r="J158">
        <v>4.2</v>
      </c>
      <c r="K158" t="s">
        <v>28</v>
      </c>
      <c r="L158">
        <v>61000</v>
      </c>
      <c r="M158" t="s">
        <v>19</v>
      </c>
      <c r="N158" t="s">
        <v>21</v>
      </c>
      <c r="O158">
        <v>0</v>
      </c>
    </row>
    <row r="159" spans="1:15" x14ac:dyDescent="0.3">
      <c r="A159" t="s">
        <v>203</v>
      </c>
      <c r="B159">
        <v>45</v>
      </c>
      <c r="C159" t="s">
        <v>35</v>
      </c>
      <c r="D159" t="s">
        <v>16</v>
      </c>
      <c r="E159" t="s">
        <v>31</v>
      </c>
      <c r="F159" t="s">
        <v>26</v>
      </c>
      <c r="G159">
        <v>9</v>
      </c>
      <c r="H159">
        <v>8</v>
      </c>
      <c r="I159" t="s">
        <v>27</v>
      </c>
      <c r="J159">
        <v>4.3</v>
      </c>
      <c r="K159" t="s">
        <v>28</v>
      </c>
      <c r="L159">
        <v>62000</v>
      </c>
      <c r="M159" t="s">
        <v>19</v>
      </c>
      <c r="N159" t="s">
        <v>21</v>
      </c>
      <c r="O159">
        <v>0</v>
      </c>
    </row>
    <row r="160" spans="1:15" x14ac:dyDescent="0.3">
      <c r="A160" t="s">
        <v>204</v>
      </c>
      <c r="B160">
        <v>29</v>
      </c>
      <c r="C160" t="s">
        <v>15</v>
      </c>
      <c r="D160" t="s">
        <v>24</v>
      </c>
      <c r="E160" t="s">
        <v>41</v>
      </c>
      <c r="F160" t="s">
        <v>42</v>
      </c>
      <c r="G160">
        <v>5</v>
      </c>
      <c r="H160">
        <v>6</v>
      </c>
      <c r="I160" t="s">
        <v>33</v>
      </c>
      <c r="J160">
        <v>3</v>
      </c>
      <c r="K160" t="s">
        <v>66</v>
      </c>
      <c r="L160">
        <v>49000</v>
      </c>
      <c r="M160" t="s">
        <v>20</v>
      </c>
      <c r="N160" t="s">
        <v>21</v>
      </c>
      <c r="O160">
        <v>0</v>
      </c>
    </row>
    <row r="161" spans="1:15" x14ac:dyDescent="0.3">
      <c r="A161" t="s">
        <v>205</v>
      </c>
      <c r="B161">
        <v>30</v>
      </c>
      <c r="C161" t="s">
        <v>15</v>
      </c>
      <c r="D161" t="s">
        <v>16</v>
      </c>
      <c r="E161" t="s">
        <v>25</v>
      </c>
      <c r="F161" t="s">
        <v>26</v>
      </c>
      <c r="G161">
        <v>6</v>
      </c>
      <c r="H161">
        <v>7</v>
      </c>
      <c r="I161" t="s">
        <v>19</v>
      </c>
      <c r="J161">
        <v>3.1</v>
      </c>
      <c r="K161" t="s">
        <v>48</v>
      </c>
      <c r="L161">
        <v>50000</v>
      </c>
      <c r="M161" t="s">
        <v>20</v>
      </c>
      <c r="N161" t="s">
        <v>21</v>
      </c>
      <c r="O161">
        <v>0</v>
      </c>
    </row>
    <row r="162" spans="1:15" x14ac:dyDescent="0.3">
      <c r="A162" t="s">
        <v>206</v>
      </c>
      <c r="B162">
        <v>31</v>
      </c>
      <c r="C162" t="s">
        <v>23</v>
      </c>
      <c r="D162" t="s">
        <v>24</v>
      </c>
      <c r="E162" t="s">
        <v>45</v>
      </c>
      <c r="F162" t="s">
        <v>46</v>
      </c>
      <c r="G162">
        <v>7</v>
      </c>
      <c r="H162">
        <v>7</v>
      </c>
      <c r="I162" t="s">
        <v>19</v>
      </c>
      <c r="J162">
        <v>3.2</v>
      </c>
      <c r="K162" t="s">
        <v>48</v>
      </c>
      <c r="L162">
        <v>51000</v>
      </c>
      <c r="M162" t="s">
        <v>29</v>
      </c>
      <c r="N162" t="s">
        <v>21</v>
      </c>
      <c r="O162">
        <v>0</v>
      </c>
    </row>
    <row r="163" spans="1:15" x14ac:dyDescent="0.3">
      <c r="A163" t="s">
        <v>207</v>
      </c>
      <c r="B163">
        <v>36</v>
      </c>
      <c r="C163" t="s">
        <v>44</v>
      </c>
      <c r="D163" t="s">
        <v>16</v>
      </c>
      <c r="E163" t="s">
        <v>17</v>
      </c>
      <c r="F163" t="s">
        <v>18</v>
      </c>
      <c r="G163">
        <v>8</v>
      </c>
      <c r="H163">
        <v>8</v>
      </c>
      <c r="I163" t="s">
        <v>27</v>
      </c>
      <c r="J163">
        <v>3.3</v>
      </c>
      <c r="K163" t="s">
        <v>48</v>
      </c>
      <c r="L163">
        <v>52000</v>
      </c>
      <c r="M163" t="s">
        <v>29</v>
      </c>
      <c r="N163" t="s">
        <v>21</v>
      </c>
      <c r="O163">
        <v>0</v>
      </c>
    </row>
    <row r="164" spans="1:15" x14ac:dyDescent="0.3">
      <c r="A164" t="s">
        <v>208</v>
      </c>
      <c r="B164">
        <v>29</v>
      </c>
      <c r="C164" t="s">
        <v>15</v>
      </c>
      <c r="D164" t="s">
        <v>16</v>
      </c>
      <c r="E164" t="s">
        <v>31</v>
      </c>
      <c r="F164" t="s">
        <v>32</v>
      </c>
      <c r="G164">
        <v>5</v>
      </c>
      <c r="H164">
        <v>6</v>
      </c>
      <c r="I164" t="s">
        <v>33</v>
      </c>
      <c r="J164">
        <v>3.4</v>
      </c>
      <c r="K164" t="s">
        <v>48</v>
      </c>
      <c r="L164">
        <v>53000</v>
      </c>
      <c r="M164" t="s">
        <v>29</v>
      </c>
      <c r="N164" t="s">
        <v>21</v>
      </c>
      <c r="O164">
        <v>0</v>
      </c>
    </row>
    <row r="165" spans="1:15" x14ac:dyDescent="0.3">
      <c r="A165" t="s">
        <v>209</v>
      </c>
      <c r="B165">
        <v>41</v>
      </c>
      <c r="C165" t="s">
        <v>35</v>
      </c>
      <c r="D165" t="s">
        <v>24</v>
      </c>
      <c r="E165" t="s">
        <v>36</v>
      </c>
      <c r="F165" t="s">
        <v>37</v>
      </c>
      <c r="G165">
        <v>11</v>
      </c>
      <c r="H165">
        <v>9</v>
      </c>
      <c r="I165" t="s">
        <v>38</v>
      </c>
      <c r="J165">
        <v>3.5</v>
      </c>
      <c r="K165" t="s">
        <v>48</v>
      </c>
      <c r="L165">
        <v>54000</v>
      </c>
      <c r="M165" t="s">
        <v>29</v>
      </c>
      <c r="N165" t="s">
        <v>21</v>
      </c>
      <c r="O165">
        <v>0</v>
      </c>
    </row>
    <row r="166" spans="1:15" x14ac:dyDescent="0.3">
      <c r="A166" t="s">
        <v>210</v>
      </c>
      <c r="B166">
        <v>31</v>
      </c>
      <c r="C166" t="s">
        <v>23</v>
      </c>
      <c r="D166" t="s">
        <v>16</v>
      </c>
      <c r="E166" t="s">
        <v>41</v>
      </c>
      <c r="F166" t="s">
        <v>42</v>
      </c>
      <c r="G166">
        <v>6</v>
      </c>
      <c r="H166">
        <v>7</v>
      </c>
      <c r="I166" t="s">
        <v>19</v>
      </c>
      <c r="J166">
        <v>3.6</v>
      </c>
      <c r="K166" t="s">
        <v>19</v>
      </c>
      <c r="L166">
        <v>55000</v>
      </c>
      <c r="M166" t="s">
        <v>29</v>
      </c>
      <c r="N166" t="s">
        <v>21</v>
      </c>
      <c r="O166">
        <v>0</v>
      </c>
    </row>
    <row r="167" spans="1:15" x14ac:dyDescent="0.3">
      <c r="A167" t="s">
        <v>211</v>
      </c>
      <c r="B167">
        <v>30</v>
      </c>
      <c r="C167" t="s">
        <v>15</v>
      </c>
      <c r="D167" t="s">
        <v>16</v>
      </c>
      <c r="E167" t="s">
        <v>25</v>
      </c>
      <c r="F167" t="s">
        <v>26</v>
      </c>
      <c r="G167">
        <v>5</v>
      </c>
      <c r="H167">
        <v>6</v>
      </c>
      <c r="I167" t="s">
        <v>33</v>
      </c>
      <c r="J167">
        <v>3.7</v>
      </c>
      <c r="K167" t="s">
        <v>19</v>
      </c>
      <c r="L167">
        <v>56000</v>
      </c>
      <c r="M167" t="s">
        <v>29</v>
      </c>
      <c r="N167" t="s">
        <v>21</v>
      </c>
      <c r="O167">
        <v>0</v>
      </c>
    </row>
    <row r="168" spans="1:15" x14ac:dyDescent="0.3">
      <c r="A168" t="s">
        <v>212</v>
      </c>
      <c r="B168">
        <v>35</v>
      </c>
      <c r="C168" t="s">
        <v>23</v>
      </c>
      <c r="D168" t="s">
        <v>24</v>
      </c>
      <c r="E168" t="s">
        <v>45</v>
      </c>
      <c r="F168" t="s">
        <v>46</v>
      </c>
      <c r="G168">
        <v>6</v>
      </c>
      <c r="H168">
        <v>7</v>
      </c>
      <c r="I168" t="s">
        <v>19</v>
      </c>
      <c r="J168">
        <v>3.8</v>
      </c>
      <c r="K168" t="s">
        <v>19</v>
      </c>
      <c r="L168">
        <v>57000</v>
      </c>
      <c r="M168" t="s">
        <v>29</v>
      </c>
      <c r="N168" t="s">
        <v>21</v>
      </c>
      <c r="O168">
        <v>0</v>
      </c>
    </row>
    <row r="169" spans="1:15" x14ac:dyDescent="0.3">
      <c r="A169" t="s">
        <v>213</v>
      </c>
      <c r="B169">
        <v>32</v>
      </c>
      <c r="C169" t="s">
        <v>23</v>
      </c>
      <c r="D169" t="s">
        <v>16</v>
      </c>
      <c r="E169" t="s">
        <v>17</v>
      </c>
      <c r="F169" t="s">
        <v>18</v>
      </c>
      <c r="G169">
        <v>7</v>
      </c>
      <c r="H169">
        <v>7</v>
      </c>
      <c r="I169" t="s">
        <v>19</v>
      </c>
      <c r="J169">
        <v>3.9</v>
      </c>
      <c r="K169" t="s">
        <v>19</v>
      </c>
      <c r="L169">
        <v>58000</v>
      </c>
      <c r="M169" t="s">
        <v>29</v>
      </c>
      <c r="N169" t="s">
        <v>21</v>
      </c>
      <c r="O169">
        <v>0</v>
      </c>
    </row>
    <row r="170" spans="1:15" x14ac:dyDescent="0.3">
      <c r="A170" t="s">
        <v>214</v>
      </c>
      <c r="B170">
        <v>37</v>
      </c>
      <c r="C170" t="s">
        <v>44</v>
      </c>
      <c r="D170" t="s">
        <v>16</v>
      </c>
      <c r="E170" t="s">
        <v>31</v>
      </c>
      <c r="F170" t="s">
        <v>32</v>
      </c>
      <c r="G170">
        <v>8</v>
      </c>
      <c r="H170">
        <v>8</v>
      </c>
      <c r="I170" t="s">
        <v>27</v>
      </c>
      <c r="J170">
        <v>4</v>
      </c>
      <c r="K170" t="s">
        <v>19</v>
      </c>
      <c r="L170">
        <v>59000</v>
      </c>
      <c r="M170" t="s">
        <v>29</v>
      </c>
      <c r="N170" t="s">
        <v>21</v>
      </c>
      <c r="O170">
        <v>0</v>
      </c>
    </row>
    <row r="171" spans="1:15" x14ac:dyDescent="0.3">
      <c r="A171" t="s">
        <v>215</v>
      </c>
      <c r="B171">
        <v>38</v>
      </c>
      <c r="C171" t="s">
        <v>44</v>
      </c>
      <c r="D171" t="s">
        <v>24</v>
      </c>
      <c r="E171" t="s">
        <v>41</v>
      </c>
      <c r="F171" t="s">
        <v>42</v>
      </c>
      <c r="G171">
        <v>9</v>
      </c>
      <c r="H171">
        <v>8</v>
      </c>
      <c r="I171" t="s">
        <v>27</v>
      </c>
      <c r="J171">
        <v>4.0999999999999996</v>
      </c>
      <c r="K171" t="s">
        <v>28</v>
      </c>
      <c r="L171">
        <v>60000</v>
      </c>
      <c r="M171" t="s">
        <v>29</v>
      </c>
      <c r="N171" t="s">
        <v>21</v>
      </c>
      <c r="O171">
        <v>0</v>
      </c>
    </row>
    <row r="172" spans="1:15" x14ac:dyDescent="0.3">
      <c r="A172" t="s">
        <v>216</v>
      </c>
      <c r="B172">
        <v>34</v>
      </c>
      <c r="C172" t="s">
        <v>23</v>
      </c>
      <c r="D172" t="s">
        <v>16</v>
      </c>
      <c r="E172" t="s">
        <v>25</v>
      </c>
      <c r="F172" t="s">
        <v>26</v>
      </c>
      <c r="G172">
        <v>7</v>
      </c>
      <c r="H172">
        <v>7</v>
      </c>
      <c r="I172" t="s">
        <v>19</v>
      </c>
      <c r="J172">
        <v>4.2</v>
      </c>
      <c r="K172" t="s">
        <v>28</v>
      </c>
      <c r="L172">
        <v>61000</v>
      </c>
      <c r="M172" t="s">
        <v>19</v>
      </c>
      <c r="N172" t="s">
        <v>21</v>
      </c>
      <c r="O172">
        <v>0</v>
      </c>
    </row>
    <row r="173" spans="1:15" x14ac:dyDescent="0.3">
      <c r="A173" t="s">
        <v>217</v>
      </c>
      <c r="B173">
        <v>40</v>
      </c>
      <c r="C173" t="s">
        <v>44</v>
      </c>
      <c r="D173" t="s">
        <v>16</v>
      </c>
      <c r="E173" t="s">
        <v>36</v>
      </c>
      <c r="F173" t="s">
        <v>37</v>
      </c>
      <c r="G173">
        <v>10</v>
      </c>
      <c r="H173">
        <v>8</v>
      </c>
      <c r="I173" t="s">
        <v>27</v>
      </c>
      <c r="J173">
        <v>4.3</v>
      </c>
      <c r="K173" t="s">
        <v>28</v>
      </c>
      <c r="L173">
        <v>62000</v>
      </c>
      <c r="M173" t="s">
        <v>19</v>
      </c>
      <c r="N173" t="s">
        <v>21</v>
      </c>
      <c r="O173">
        <v>0</v>
      </c>
    </row>
    <row r="174" spans="1:15" x14ac:dyDescent="0.3">
      <c r="A174" t="s">
        <v>218</v>
      </c>
      <c r="B174">
        <v>37</v>
      </c>
      <c r="C174" t="s">
        <v>44</v>
      </c>
      <c r="D174" t="s">
        <v>16</v>
      </c>
      <c r="E174" t="s">
        <v>17</v>
      </c>
      <c r="F174" t="s">
        <v>18</v>
      </c>
      <c r="G174">
        <v>9</v>
      </c>
      <c r="H174">
        <v>8</v>
      </c>
      <c r="I174" t="s">
        <v>27</v>
      </c>
      <c r="J174">
        <v>4.4000000000000004</v>
      </c>
      <c r="K174" t="s">
        <v>28</v>
      </c>
      <c r="L174">
        <v>63000</v>
      </c>
      <c r="M174" t="s">
        <v>19</v>
      </c>
      <c r="N174" t="s">
        <v>21</v>
      </c>
      <c r="O174">
        <v>0</v>
      </c>
    </row>
    <row r="175" spans="1:15" x14ac:dyDescent="0.3">
      <c r="A175" t="s">
        <v>219</v>
      </c>
      <c r="B175">
        <v>33</v>
      </c>
      <c r="C175" t="s">
        <v>23</v>
      </c>
      <c r="D175" t="s">
        <v>16</v>
      </c>
      <c r="E175" t="s">
        <v>31</v>
      </c>
      <c r="F175" t="s">
        <v>26</v>
      </c>
      <c r="G175">
        <v>8</v>
      </c>
      <c r="H175">
        <v>8</v>
      </c>
      <c r="I175" t="s">
        <v>27</v>
      </c>
      <c r="J175">
        <v>4.5</v>
      </c>
      <c r="K175" t="s">
        <v>28</v>
      </c>
      <c r="L175">
        <v>64000</v>
      </c>
      <c r="M175" t="s">
        <v>19</v>
      </c>
      <c r="N175" t="s">
        <v>21</v>
      </c>
      <c r="O175">
        <v>0</v>
      </c>
    </row>
    <row r="176" spans="1:15" x14ac:dyDescent="0.3">
      <c r="A176" t="s">
        <v>220</v>
      </c>
      <c r="B176">
        <v>30</v>
      </c>
      <c r="C176" t="s">
        <v>15</v>
      </c>
      <c r="D176" t="s">
        <v>16</v>
      </c>
      <c r="E176" t="s">
        <v>41</v>
      </c>
      <c r="F176" t="s">
        <v>42</v>
      </c>
      <c r="G176">
        <v>5</v>
      </c>
      <c r="H176">
        <v>6</v>
      </c>
      <c r="I176" t="s">
        <v>33</v>
      </c>
      <c r="J176">
        <v>4.5999999999999996</v>
      </c>
      <c r="K176" t="s">
        <v>50</v>
      </c>
      <c r="L176">
        <v>65000</v>
      </c>
      <c r="M176" t="s">
        <v>19</v>
      </c>
      <c r="N176" t="s">
        <v>21</v>
      </c>
      <c r="O176">
        <v>0</v>
      </c>
    </row>
    <row r="177" spans="1:15" x14ac:dyDescent="0.3">
      <c r="A177" t="s">
        <v>221</v>
      </c>
      <c r="B177">
        <v>31</v>
      </c>
      <c r="C177" t="s">
        <v>23</v>
      </c>
      <c r="D177" t="s">
        <v>24</v>
      </c>
      <c r="E177" t="s">
        <v>31</v>
      </c>
      <c r="F177" t="s">
        <v>32</v>
      </c>
      <c r="G177">
        <v>6</v>
      </c>
      <c r="H177">
        <v>7</v>
      </c>
      <c r="I177" t="s">
        <v>19</v>
      </c>
      <c r="J177">
        <v>4.7</v>
      </c>
      <c r="K177" t="s">
        <v>50</v>
      </c>
      <c r="L177">
        <v>66000</v>
      </c>
      <c r="M177" t="s">
        <v>19</v>
      </c>
      <c r="N177" t="s">
        <v>21</v>
      </c>
      <c r="O177">
        <v>0</v>
      </c>
    </row>
    <row r="178" spans="1:15" x14ac:dyDescent="0.3">
      <c r="A178" t="s">
        <v>222</v>
      </c>
      <c r="B178">
        <v>29</v>
      </c>
      <c r="C178" t="s">
        <v>15</v>
      </c>
      <c r="D178" t="s">
        <v>16</v>
      </c>
      <c r="E178" t="s">
        <v>17</v>
      </c>
      <c r="F178" t="s">
        <v>18</v>
      </c>
      <c r="G178">
        <v>4</v>
      </c>
      <c r="H178">
        <v>6</v>
      </c>
      <c r="I178" t="s">
        <v>33</v>
      </c>
      <c r="J178">
        <v>4</v>
      </c>
      <c r="K178" t="s">
        <v>19</v>
      </c>
      <c r="L178">
        <v>59000</v>
      </c>
      <c r="M178" t="s">
        <v>29</v>
      </c>
      <c r="N178" t="s">
        <v>21</v>
      </c>
      <c r="O178">
        <v>0</v>
      </c>
    </row>
    <row r="179" spans="1:15" x14ac:dyDescent="0.3">
      <c r="A179" t="s">
        <v>223</v>
      </c>
      <c r="B179">
        <v>35</v>
      </c>
      <c r="C179" t="s">
        <v>23</v>
      </c>
      <c r="D179" t="s">
        <v>16</v>
      </c>
      <c r="E179" t="s">
        <v>41</v>
      </c>
      <c r="F179" t="s">
        <v>42</v>
      </c>
      <c r="G179">
        <v>7</v>
      </c>
      <c r="H179">
        <v>7</v>
      </c>
      <c r="I179" t="s">
        <v>19</v>
      </c>
      <c r="J179">
        <v>3.9</v>
      </c>
      <c r="K179" t="s">
        <v>19</v>
      </c>
      <c r="L179">
        <v>58000</v>
      </c>
      <c r="M179" t="s">
        <v>29</v>
      </c>
      <c r="N179" t="s">
        <v>21</v>
      </c>
      <c r="O179">
        <v>0</v>
      </c>
    </row>
    <row r="180" spans="1:15" x14ac:dyDescent="0.3">
      <c r="A180" t="s">
        <v>224</v>
      </c>
      <c r="B180">
        <v>36</v>
      </c>
      <c r="C180" t="s">
        <v>44</v>
      </c>
      <c r="D180" t="s">
        <v>16</v>
      </c>
      <c r="E180" t="s">
        <v>25</v>
      </c>
      <c r="F180" t="s">
        <v>26</v>
      </c>
      <c r="G180">
        <v>8</v>
      </c>
      <c r="H180">
        <v>8</v>
      </c>
      <c r="I180" t="s">
        <v>27</v>
      </c>
      <c r="J180">
        <v>3.8</v>
      </c>
      <c r="K180" t="s">
        <v>19</v>
      </c>
      <c r="L180">
        <v>57000</v>
      </c>
      <c r="M180" t="s">
        <v>29</v>
      </c>
      <c r="N180" t="s">
        <v>21</v>
      </c>
      <c r="O180">
        <v>0</v>
      </c>
    </row>
    <row r="181" spans="1:15" x14ac:dyDescent="0.3">
      <c r="A181" t="s">
        <v>225</v>
      </c>
      <c r="B181">
        <v>28</v>
      </c>
      <c r="C181" t="s">
        <v>15</v>
      </c>
      <c r="D181" t="s">
        <v>24</v>
      </c>
      <c r="E181" t="s">
        <v>45</v>
      </c>
      <c r="F181" t="s">
        <v>46</v>
      </c>
      <c r="G181">
        <v>3</v>
      </c>
      <c r="H181">
        <v>6</v>
      </c>
      <c r="I181" t="s">
        <v>33</v>
      </c>
      <c r="J181">
        <v>3.7</v>
      </c>
      <c r="K181" t="s">
        <v>19</v>
      </c>
      <c r="L181">
        <v>56000</v>
      </c>
      <c r="M181" t="s">
        <v>29</v>
      </c>
      <c r="N181" t="s">
        <v>21</v>
      </c>
      <c r="O181">
        <v>0</v>
      </c>
    </row>
    <row r="182" spans="1:15" x14ac:dyDescent="0.3">
      <c r="A182" t="s">
        <v>226</v>
      </c>
      <c r="B182">
        <v>44</v>
      </c>
      <c r="C182" t="s">
        <v>35</v>
      </c>
      <c r="D182" t="s">
        <v>16</v>
      </c>
      <c r="E182" t="s">
        <v>17</v>
      </c>
      <c r="F182" t="s">
        <v>18</v>
      </c>
      <c r="G182">
        <v>10</v>
      </c>
      <c r="H182">
        <v>8</v>
      </c>
      <c r="I182" t="s">
        <v>27</v>
      </c>
      <c r="J182">
        <v>3.6</v>
      </c>
      <c r="K182" t="s">
        <v>19</v>
      </c>
      <c r="L182">
        <v>55000</v>
      </c>
      <c r="M182" t="s">
        <v>29</v>
      </c>
      <c r="N182" t="s">
        <v>21</v>
      </c>
      <c r="O182">
        <v>0</v>
      </c>
    </row>
    <row r="183" spans="1:15" x14ac:dyDescent="0.3">
      <c r="A183" t="s">
        <v>227</v>
      </c>
      <c r="B183">
        <v>27</v>
      </c>
      <c r="C183" t="s">
        <v>15</v>
      </c>
      <c r="D183" t="s">
        <v>24</v>
      </c>
      <c r="E183" t="s">
        <v>31</v>
      </c>
      <c r="F183" t="s">
        <v>26</v>
      </c>
      <c r="G183">
        <v>3</v>
      </c>
      <c r="H183">
        <v>6</v>
      </c>
      <c r="I183" t="s">
        <v>33</v>
      </c>
      <c r="J183">
        <v>3.5</v>
      </c>
      <c r="K183" t="s">
        <v>48</v>
      </c>
      <c r="L183">
        <v>54000</v>
      </c>
      <c r="M183" t="s">
        <v>29</v>
      </c>
      <c r="N183" t="s">
        <v>21</v>
      </c>
      <c r="O183">
        <v>0</v>
      </c>
    </row>
    <row r="184" spans="1:15" x14ac:dyDescent="0.3">
      <c r="A184" t="s">
        <v>228</v>
      </c>
      <c r="B184">
        <v>37</v>
      </c>
      <c r="C184" t="s">
        <v>44</v>
      </c>
      <c r="D184" t="s">
        <v>16</v>
      </c>
      <c r="E184" t="s">
        <v>36</v>
      </c>
      <c r="F184" t="s">
        <v>37</v>
      </c>
      <c r="G184">
        <v>8</v>
      </c>
      <c r="H184">
        <v>8</v>
      </c>
      <c r="I184" t="s">
        <v>27</v>
      </c>
      <c r="J184">
        <v>3.4</v>
      </c>
      <c r="K184" t="s">
        <v>48</v>
      </c>
      <c r="L184">
        <v>53000</v>
      </c>
      <c r="M184" t="s">
        <v>29</v>
      </c>
      <c r="N184" t="s">
        <v>21</v>
      </c>
      <c r="O184">
        <v>0</v>
      </c>
    </row>
    <row r="185" spans="1:15" x14ac:dyDescent="0.3">
      <c r="A185" t="s">
        <v>229</v>
      </c>
      <c r="B185">
        <v>35</v>
      </c>
      <c r="C185" t="s">
        <v>23</v>
      </c>
      <c r="D185" t="s">
        <v>16</v>
      </c>
      <c r="E185" t="s">
        <v>31</v>
      </c>
      <c r="F185" t="s">
        <v>32</v>
      </c>
      <c r="G185">
        <v>7</v>
      </c>
      <c r="H185">
        <v>7</v>
      </c>
      <c r="I185" t="s">
        <v>19</v>
      </c>
      <c r="J185">
        <v>3.3</v>
      </c>
      <c r="K185" t="s">
        <v>48</v>
      </c>
      <c r="L185">
        <v>52000</v>
      </c>
      <c r="M185" t="s">
        <v>29</v>
      </c>
      <c r="N185" t="s">
        <v>21</v>
      </c>
      <c r="O185">
        <v>0</v>
      </c>
    </row>
    <row r="186" spans="1:15" x14ac:dyDescent="0.3">
      <c r="A186" t="s">
        <v>230</v>
      </c>
      <c r="B186">
        <v>33</v>
      </c>
      <c r="C186" t="s">
        <v>23</v>
      </c>
      <c r="D186" t="s">
        <v>24</v>
      </c>
      <c r="E186" t="s">
        <v>17</v>
      </c>
      <c r="F186" t="s">
        <v>18</v>
      </c>
      <c r="G186">
        <v>6</v>
      </c>
      <c r="H186">
        <v>7</v>
      </c>
      <c r="I186" t="s">
        <v>19</v>
      </c>
      <c r="J186">
        <v>3.2</v>
      </c>
      <c r="K186" t="s">
        <v>48</v>
      </c>
      <c r="L186">
        <v>51000</v>
      </c>
      <c r="M186" t="s">
        <v>29</v>
      </c>
      <c r="N186" t="s">
        <v>21</v>
      </c>
      <c r="O186">
        <v>0</v>
      </c>
    </row>
    <row r="187" spans="1:15" x14ac:dyDescent="0.3">
      <c r="A187" t="s">
        <v>231</v>
      </c>
      <c r="B187">
        <v>38</v>
      </c>
      <c r="C187" t="s">
        <v>44</v>
      </c>
      <c r="D187" t="s">
        <v>16</v>
      </c>
      <c r="E187" t="s">
        <v>41</v>
      </c>
      <c r="F187" t="s">
        <v>42</v>
      </c>
      <c r="G187">
        <v>9</v>
      </c>
      <c r="H187">
        <v>8</v>
      </c>
      <c r="I187" t="s">
        <v>27</v>
      </c>
      <c r="J187">
        <v>3.1</v>
      </c>
      <c r="K187" t="s">
        <v>48</v>
      </c>
      <c r="L187">
        <v>50000</v>
      </c>
      <c r="M187" t="s">
        <v>20</v>
      </c>
      <c r="N187" t="s">
        <v>21</v>
      </c>
      <c r="O187">
        <v>0</v>
      </c>
    </row>
    <row r="188" spans="1:15" x14ac:dyDescent="0.3">
      <c r="A188" t="s">
        <v>232</v>
      </c>
      <c r="B188">
        <v>42</v>
      </c>
      <c r="C188" t="s">
        <v>35</v>
      </c>
      <c r="D188" t="s">
        <v>16</v>
      </c>
      <c r="E188" t="s">
        <v>25</v>
      </c>
      <c r="F188" t="s">
        <v>26</v>
      </c>
      <c r="G188">
        <v>11</v>
      </c>
      <c r="H188">
        <v>9</v>
      </c>
      <c r="I188" t="s">
        <v>38</v>
      </c>
      <c r="J188">
        <v>4.4000000000000004</v>
      </c>
      <c r="K188" t="s">
        <v>28</v>
      </c>
      <c r="L188">
        <v>63000</v>
      </c>
      <c r="M188" t="s">
        <v>19</v>
      </c>
      <c r="N188" t="s">
        <v>39</v>
      </c>
      <c r="O188">
        <v>1</v>
      </c>
    </row>
    <row r="189" spans="1:15" x14ac:dyDescent="0.3">
      <c r="A189" t="s">
        <v>233</v>
      </c>
      <c r="B189">
        <v>34</v>
      </c>
      <c r="C189" t="s">
        <v>23</v>
      </c>
      <c r="D189" t="s">
        <v>24</v>
      </c>
      <c r="E189" t="s">
        <v>45</v>
      </c>
      <c r="F189" t="s">
        <v>46</v>
      </c>
      <c r="G189">
        <v>7</v>
      </c>
      <c r="H189">
        <v>7</v>
      </c>
      <c r="I189" t="s">
        <v>19</v>
      </c>
      <c r="J189">
        <v>3.8</v>
      </c>
      <c r="K189" t="s">
        <v>19</v>
      </c>
      <c r="L189">
        <v>57000</v>
      </c>
      <c r="M189" t="s">
        <v>29</v>
      </c>
      <c r="N189" t="s">
        <v>21</v>
      </c>
      <c r="O189">
        <v>0</v>
      </c>
    </row>
    <row r="190" spans="1:15" x14ac:dyDescent="0.3">
      <c r="A190" t="s">
        <v>234</v>
      </c>
      <c r="B190">
        <v>29</v>
      </c>
      <c r="C190" t="s">
        <v>15</v>
      </c>
      <c r="D190" t="s">
        <v>16</v>
      </c>
      <c r="E190" t="s">
        <v>17</v>
      </c>
      <c r="F190" t="s">
        <v>18</v>
      </c>
      <c r="G190">
        <v>5</v>
      </c>
      <c r="H190">
        <v>6</v>
      </c>
      <c r="I190" t="s">
        <v>33</v>
      </c>
      <c r="J190">
        <v>3.9</v>
      </c>
      <c r="K190" t="s">
        <v>19</v>
      </c>
      <c r="L190">
        <v>58000</v>
      </c>
      <c r="M190" t="s">
        <v>29</v>
      </c>
      <c r="N190" t="s">
        <v>21</v>
      </c>
      <c r="O190">
        <v>0</v>
      </c>
    </row>
    <row r="191" spans="1:15" x14ac:dyDescent="0.3">
      <c r="A191" t="s">
        <v>235</v>
      </c>
      <c r="B191">
        <v>31</v>
      </c>
      <c r="C191" t="s">
        <v>23</v>
      </c>
      <c r="D191" t="s">
        <v>16</v>
      </c>
      <c r="E191" t="s">
        <v>41</v>
      </c>
      <c r="F191" t="s">
        <v>42</v>
      </c>
      <c r="G191">
        <v>6</v>
      </c>
      <c r="H191">
        <v>7</v>
      </c>
      <c r="I191" t="s">
        <v>19</v>
      </c>
      <c r="J191">
        <v>3.5</v>
      </c>
      <c r="K191" t="s">
        <v>48</v>
      </c>
      <c r="L191">
        <v>55000</v>
      </c>
      <c r="M191" t="s">
        <v>29</v>
      </c>
      <c r="N191" t="s">
        <v>21</v>
      </c>
      <c r="O191">
        <v>0</v>
      </c>
    </row>
    <row r="192" spans="1:15" x14ac:dyDescent="0.3">
      <c r="A192" t="s">
        <v>236</v>
      </c>
      <c r="B192">
        <v>36</v>
      </c>
      <c r="C192" t="s">
        <v>44</v>
      </c>
      <c r="D192" t="s">
        <v>16</v>
      </c>
      <c r="E192" t="s">
        <v>31</v>
      </c>
      <c r="F192" t="s">
        <v>26</v>
      </c>
      <c r="G192">
        <v>8</v>
      </c>
      <c r="H192">
        <v>8</v>
      </c>
      <c r="I192" t="s">
        <v>27</v>
      </c>
      <c r="J192">
        <v>3.4</v>
      </c>
      <c r="K192" t="s">
        <v>48</v>
      </c>
      <c r="L192">
        <v>54000</v>
      </c>
      <c r="M192" t="s">
        <v>29</v>
      </c>
      <c r="N192" t="s">
        <v>21</v>
      </c>
      <c r="O192">
        <v>0</v>
      </c>
    </row>
    <row r="193" spans="1:15" x14ac:dyDescent="0.3">
      <c r="A193" t="s">
        <v>237</v>
      </c>
      <c r="B193">
        <v>32</v>
      </c>
      <c r="C193" t="s">
        <v>23</v>
      </c>
      <c r="D193" t="s">
        <v>24</v>
      </c>
      <c r="E193" t="s">
        <v>25</v>
      </c>
      <c r="F193" t="s">
        <v>26</v>
      </c>
      <c r="G193">
        <v>6</v>
      </c>
      <c r="H193">
        <v>7</v>
      </c>
      <c r="I193" t="s">
        <v>19</v>
      </c>
      <c r="J193">
        <v>3.6</v>
      </c>
      <c r="K193" t="s">
        <v>19</v>
      </c>
      <c r="L193">
        <v>56000</v>
      </c>
      <c r="M193" t="s">
        <v>29</v>
      </c>
      <c r="N193" t="s">
        <v>21</v>
      </c>
      <c r="O193">
        <v>0</v>
      </c>
    </row>
    <row r="194" spans="1:15" x14ac:dyDescent="0.3">
      <c r="A194" t="s">
        <v>238</v>
      </c>
      <c r="B194">
        <v>40</v>
      </c>
      <c r="C194" t="s">
        <v>44</v>
      </c>
      <c r="D194" t="s">
        <v>16</v>
      </c>
      <c r="E194" t="s">
        <v>17</v>
      </c>
      <c r="F194" t="s">
        <v>18</v>
      </c>
      <c r="G194">
        <v>8</v>
      </c>
      <c r="H194">
        <v>8</v>
      </c>
      <c r="I194" t="s">
        <v>27</v>
      </c>
      <c r="J194">
        <v>3.7</v>
      </c>
      <c r="K194" t="s">
        <v>19</v>
      </c>
      <c r="L194">
        <v>57000</v>
      </c>
      <c r="M194" t="s">
        <v>29</v>
      </c>
      <c r="N194" t="s">
        <v>21</v>
      </c>
      <c r="O194">
        <v>0</v>
      </c>
    </row>
    <row r="195" spans="1:15" x14ac:dyDescent="0.3">
      <c r="A195" t="s">
        <v>239</v>
      </c>
      <c r="B195">
        <v>27</v>
      </c>
      <c r="C195" t="s">
        <v>15</v>
      </c>
      <c r="D195" t="s">
        <v>16</v>
      </c>
      <c r="E195" t="s">
        <v>36</v>
      </c>
      <c r="F195" t="s">
        <v>37</v>
      </c>
      <c r="G195">
        <v>4</v>
      </c>
      <c r="H195">
        <v>6</v>
      </c>
      <c r="I195" t="s">
        <v>33</v>
      </c>
      <c r="J195">
        <v>3.9</v>
      </c>
      <c r="K195" t="s">
        <v>19</v>
      </c>
      <c r="L195">
        <v>58000</v>
      </c>
      <c r="M195" t="s">
        <v>29</v>
      </c>
      <c r="N195" t="s">
        <v>21</v>
      </c>
      <c r="O195">
        <v>0</v>
      </c>
    </row>
    <row r="196" spans="1:15" x14ac:dyDescent="0.3">
      <c r="A196" t="s">
        <v>240</v>
      </c>
      <c r="B196">
        <v>38</v>
      </c>
      <c r="C196" t="s">
        <v>44</v>
      </c>
      <c r="D196" t="s">
        <v>24</v>
      </c>
      <c r="E196" t="s">
        <v>31</v>
      </c>
      <c r="F196" t="s">
        <v>32</v>
      </c>
      <c r="G196">
        <v>9</v>
      </c>
      <c r="H196">
        <v>8</v>
      </c>
      <c r="I196" t="s">
        <v>27</v>
      </c>
      <c r="J196">
        <v>4</v>
      </c>
      <c r="K196" t="s">
        <v>19</v>
      </c>
      <c r="L196">
        <v>59000</v>
      </c>
      <c r="M196" t="s">
        <v>29</v>
      </c>
      <c r="N196" t="s">
        <v>21</v>
      </c>
      <c r="O196">
        <v>0</v>
      </c>
    </row>
    <row r="197" spans="1:15" x14ac:dyDescent="0.3">
      <c r="A197" t="s">
        <v>241</v>
      </c>
      <c r="B197">
        <v>45</v>
      </c>
      <c r="C197" t="s">
        <v>35</v>
      </c>
      <c r="D197" t="s">
        <v>16</v>
      </c>
      <c r="E197" t="s">
        <v>41</v>
      </c>
      <c r="F197" t="s">
        <v>42</v>
      </c>
      <c r="G197">
        <v>10</v>
      </c>
      <c r="H197">
        <v>8</v>
      </c>
      <c r="I197" t="s">
        <v>27</v>
      </c>
      <c r="J197">
        <v>4.0999999999999996</v>
      </c>
      <c r="K197" t="s">
        <v>28</v>
      </c>
      <c r="L197">
        <v>60000</v>
      </c>
      <c r="M197" t="s">
        <v>29</v>
      </c>
      <c r="N197" t="s">
        <v>21</v>
      </c>
      <c r="O197">
        <v>0</v>
      </c>
    </row>
    <row r="198" spans="1:15" x14ac:dyDescent="0.3">
      <c r="A198" t="s">
        <v>242</v>
      </c>
      <c r="B198">
        <v>30</v>
      </c>
      <c r="C198" t="s">
        <v>15</v>
      </c>
      <c r="D198" t="s">
        <v>16</v>
      </c>
      <c r="E198" t="s">
        <v>25</v>
      </c>
      <c r="F198" t="s">
        <v>26</v>
      </c>
      <c r="G198">
        <v>5</v>
      </c>
      <c r="H198">
        <v>6</v>
      </c>
      <c r="I198" t="s">
        <v>33</v>
      </c>
      <c r="J198">
        <v>4.2</v>
      </c>
      <c r="K198" t="s">
        <v>28</v>
      </c>
      <c r="L198">
        <v>61000</v>
      </c>
      <c r="M198" t="s">
        <v>19</v>
      </c>
      <c r="N198" t="s">
        <v>21</v>
      </c>
      <c r="O198">
        <v>0</v>
      </c>
    </row>
    <row r="199" spans="1:15" x14ac:dyDescent="0.3">
      <c r="A199" t="s">
        <v>243</v>
      </c>
      <c r="B199">
        <v>31</v>
      </c>
      <c r="C199" t="s">
        <v>23</v>
      </c>
      <c r="D199" t="s">
        <v>24</v>
      </c>
      <c r="E199" t="s">
        <v>45</v>
      </c>
      <c r="F199" t="s">
        <v>46</v>
      </c>
      <c r="G199">
        <v>6</v>
      </c>
      <c r="H199">
        <v>7</v>
      </c>
      <c r="I199" t="s">
        <v>19</v>
      </c>
      <c r="J199">
        <v>4.3</v>
      </c>
      <c r="K199" t="s">
        <v>28</v>
      </c>
      <c r="L199">
        <v>62000</v>
      </c>
      <c r="M199" t="s">
        <v>19</v>
      </c>
      <c r="N199" t="s">
        <v>21</v>
      </c>
      <c r="O199">
        <v>0</v>
      </c>
    </row>
    <row r="200" spans="1:15" x14ac:dyDescent="0.3">
      <c r="A200" t="s">
        <v>244</v>
      </c>
      <c r="B200">
        <v>36</v>
      </c>
      <c r="C200" t="s">
        <v>44</v>
      </c>
      <c r="D200" t="s">
        <v>16</v>
      </c>
      <c r="E200" t="s">
        <v>17</v>
      </c>
      <c r="F200" t="s">
        <v>18</v>
      </c>
      <c r="G200">
        <v>7</v>
      </c>
      <c r="H200">
        <v>7</v>
      </c>
      <c r="I200" t="s">
        <v>19</v>
      </c>
      <c r="J200">
        <v>4.5</v>
      </c>
      <c r="K200" t="s">
        <v>28</v>
      </c>
      <c r="L200">
        <v>64000</v>
      </c>
      <c r="M200" t="s">
        <v>19</v>
      </c>
      <c r="N200" t="s">
        <v>21</v>
      </c>
      <c r="O200">
        <v>0</v>
      </c>
    </row>
    <row r="201" spans="1:15" x14ac:dyDescent="0.3">
      <c r="A201" t="s">
        <v>245</v>
      </c>
      <c r="B201">
        <v>34</v>
      </c>
      <c r="C201" t="s">
        <v>23</v>
      </c>
      <c r="D201" t="s">
        <v>16</v>
      </c>
      <c r="E201" t="s">
        <v>31</v>
      </c>
      <c r="F201" t="s">
        <v>26</v>
      </c>
      <c r="G201">
        <v>8</v>
      </c>
      <c r="H201">
        <v>8</v>
      </c>
      <c r="I201" t="s">
        <v>27</v>
      </c>
      <c r="J201">
        <v>4.7</v>
      </c>
      <c r="K201" t="s">
        <v>50</v>
      </c>
      <c r="L201">
        <v>66000</v>
      </c>
      <c r="M201" t="s">
        <v>19</v>
      </c>
      <c r="N201" t="s">
        <v>21</v>
      </c>
      <c r="O201">
        <v>0</v>
      </c>
    </row>
    <row r="202" spans="1:15" x14ac:dyDescent="0.3">
      <c r="A202" t="s">
        <v>246</v>
      </c>
      <c r="B202">
        <v>30</v>
      </c>
      <c r="C202" t="s">
        <v>15</v>
      </c>
      <c r="D202" t="s">
        <v>16</v>
      </c>
      <c r="E202" t="s">
        <v>31</v>
      </c>
      <c r="F202" t="s">
        <v>32</v>
      </c>
      <c r="G202">
        <v>6</v>
      </c>
      <c r="H202">
        <v>7</v>
      </c>
      <c r="I202" t="s">
        <v>19</v>
      </c>
      <c r="J202">
        <v>3.5</v>
      </c>
      <c r="K202" t="s">
        <v>48</v>
      </c>
      <c r="L202">
        <v>55000</v>
      </c>
      <c r="M202" t="s">
        <v>29</v>
      </c>
      <c r="N202" t="s">
        <v>21</v>
      </c>
      <c r="O202">
        <v>0</v>
      </c>
    </row>
    <row r="203" spans="1:15" x14ac:dyDescent="0.3">
      <c r="A203" t="s">
        <v>247</v>
      </c>
      <c r="B203">
        <v>42</v>
      </c>
      <c r="C203" t="s">
        <v>35</v>
      </c>
      <c r="D203" t="s">
        <v>16</v>
      </c>
      <c r="E203" t="s">
        <v>45</v>
      </c>
      <c r="F203" t="s">
        <v>46</v>
      </c>
      <c r="G203">
        <v>12</v>
      </c>
      <c r="H203">
        <v>9</v>
      </c>
      <c r="I203" t="s">
        <v>38</v>
      </c>
      <c r="J203">
        <v>4.4000000000000004</v>
      </c>
      <c r="K203" t="s">
        <v>28</v>
      </c>
      <c r="L203">
        <v>59000</v>
      </c>
      <c r="M203" t="s">
        <v>29</v>
      </c>
      <c r="N203" t="s">
        <v>21</v>
      </c>
      <c r="O203">
        <v>0</v>
      </c>
    </row>
    <row r="204" spans="1:15" x14ac:dyDescent="0.3">
      <c r="A204" t="s">
        <v>248</v>
      </c>
      <c r="B204">
        <v>31</v>
      </c>
      <c r="C204" t="s">
        <v>23</v>
      </c>
      <c r="D204" t="s">
        <v>24</v>
      </c>
      <c r="E204" t="s">
        <v>36</v>
      </c>
      <c r="F204" t="s">
        <v>37</v>
      </c>
      <c r="G204">
        <v>7</v>
      </c>
      <c r="H204">
        <v>7</v>
      </c>
      <c r="I204" t="s">
        <v>19</v>
      </c>
      <c r="J204">
        <v>3.6</v>
      </c>
      <c r="K204" t="s">
        <v>19</v>
      </c>
      <c r="L204">
        <v>57000</v>
      </c>
      <c r="M204" t="s">
        <v>29</v>
      </c>
      <c r="N204" t="s">
        <v>39</v>
      </c>
      <c r="O204">
        <v>1</v>
      </c>
    </row>
    <row r="205" spans="1:15" x14ac:dyDescent="0.3">
      <c r="A205" t="s">
        <v>249</v>
      </c>
      <c r="B205">
        <v>35</v>
      </c>
      <c r="C205" t="s">
        <v>23</v>
      </c>
      <c r="D205" t="s">
        <v>16</v>
      </c>
      <c r="E205" t="s">
        <v>17</v>
      </c>
      <c r="F205" t="s">
        <v>18</v>
      </c>
      <c r="G205">
        <v>8</v>
      </c>
      <c r="H205">
        <v>7</v>
      </c>
      <c r="I205" t="s">
        <v>19</v>
      </c>
      <c r="J205">
        <v>3.7</v>
      </c>
      <c r="K205" t="s">
        <v>19</v>
      </c>
      <c r="L205">
        <v>58000</v>
      </c>
      <c r="M205" t="s">
        <v>29</v>
      </c>
      <c r="N205" t="s">
        <v>39</v>
      </c>
      <c r="O205">
        <v>1</v>
      </c>
    </row>
    <row r="206" spans="1:15" x14ac:dyDescent="0.3">
      <c r="A206" t="s">
        <v>250</v>
      </c>
      <c r="B206">
        <v>33</v>
      </c>
      <c r="C206" t="s">
        <v>23</v>
      </c>
      <c r="D206" t="s">
        <v>16</v>
      </c>
      <c r="E206" t="s">
        <v>41</v>
      </c>
      <c r="F206" t="s">
        <v>42</v>
      </c>
      <c r="G206">
        <v>7</v>
      </c>
      <c r="H206">
        <v>7</v>
      </c>
      <c r="I206" t="s">
        <v>19</v>
      </c>
      <c r="J206">
        <v>3.8</v>
      </c>
      <c r="K206" t="s">
        <v>19</v>
      </c>
      <c r="L206">
        <v>59000</v>
      </c>
      <c r="M206" t="s">
        <v>29</v>
      </c>
      <c r="N206" t="s">
        <v>21</v>
      </c>
      <c r="O206">
        <v>0</v>
      </c>
    </row>
    <row r="207" spans="1:15" x14ac:dyDescent="0.3">
      <c r="A207" t="s">
        <v>251</v>
      </c>
      <c r="B207">
        <v>34</v>
      </c>
      <c r="C207" t="s">
        <v>23</v>
      </c>
      <c r="D207" t="s">
        <v>16</v>
      </c>
      <c r="E207" t="s">
        <v>25</v>
      </c>
      <c r="F207" t="s">
        <v>26</v>
      </c>
      <c r="G207">
        <v>8</v>
      </c>
      <c r="H207">
        <v>8</v>
      </c>
      <c r="I207" t="s">
        <v>27</v>
      </c>
      <c r="J207">
        <v>4</v>
      </c>
      <c r="K207" t="s">
        <v>19</v>
      </c>
      <c r="L207">
        <v>60000</v>
      </c>
      <c r="M207" t="s">
        <v>29</v>
      </c>
      <c r="N207" t="s">
        <v>39</v>
      </c>
      <c r="O207">
        <v>1</v>
      </c>
    </row>
    <row r="208" spans="1:15" x14ac:dyDescent="0.3">
      <c r="A208" t="s">
        <v>252</v>
      </c>
      <c r="B208">
        <v>27</v>
      </c>
      <c r="C208" t="s">
        <v>15</v>
      </c>
      <c r="D208" t="s">
        <v>24</v>
      </c>
      <c r="E208" t="s">
        <v>31</v>
      </c>
      <c r="F208" t="s">
        <v>32</v>
      </c>
      <c r="G208">
        <v>3</v>
      </c>
      <c r="H208">
        <v>6</v>
      </c>
      <c r="I208" t="s">
        <v>33</v>
      </c>
      <c r="J208">
        <v>3.2</v>
      </c>
      <c r="K208" t="s">
        <v>48</v>
      </c>
      <c r="L208">
        <v>52000</v>
      </c>
      <c r="M208" t="s">
        <v>29</v>
      </c>
      <c r="N208" t="s">
        <v>21</v>
      </c>
      <c r="O208">
        <v>0</v>
      </c>
    </row>
    <row r="209" spans="1:15" x14ac:dyDescent="0.3">
      <c r="A209" t="s">
        <v>253</v>
      </c>
      <c r="B209">
        <v>38</v>
      </c>
      <c r="C209" t="s">
        <v>44</v>
      </c>
      <c r="D209" t="s">
        <v>16</v>
      </c>
      <c r="E209" t="s">
        <v>17</v>
      </c>
      <c r="F209" t="s">
        <v>18</v>
      </c>
      <c r="G209">
        <v>9</v>
      </c>
      <c r="H209">
        <v>8</v>
      </c>
      <c r="I209" t="s">
        <v>27</v>
      </c>
      <c r="J209">
        <v>4.2</v>
      </c>
      <c r="K209" t="s">
        <v>28</v>
      </c>
      <c r="L209">
        <v>62000</v>
      </c>
      <c r="M209" t="s">
        <v>19</v>
      </c>
      <c r="N209" t="s">
        <v>21</v>
      </c>
      <c r="O209">
        <v>0</v>
      </c>
    </row>
    <row r="210" spans="1:15" x14ac:dyDescent="0.3">
      <c r="A210" t="s">
        <v>254</v>
      </c>
      <c r="B210">
        <v>45</v>
      </c>
      <c r="C210" t="s">
        <v>35</v>
      </c>
      <c r="D210" t="s">
        <v>16</v>
      </c>
      <c r="E210" t="s">
        <v>45</v>
      </c>
      <c r="F210" t="s">
        <v>46</v>
      </c>
      <c r="G210">
        <v>15</v>
      </c>
      <c r="H210">
        <v>8</v>
      </c>
      <c r="I210" t="s">
        <v>27</v>
      </c>
      <c r="J210">
        <v>4.5999999999999996</v>
      </c>
      <c r="K210" t="s">
        <v>50</v>
      </c>
      <c r="L210">
        <v>67000</v>
      </c>
      <c r="M210" t="s">
        <v>19</v>
      </c>
      <c r="N210" t="s">
        <v>21</v>
      </c>
      <c r="O210">
        <v>0</v>
      </c>
    </row>
    <row r="211" spans="1:15" x14ac:dyDescent="0.3">
      <c r="A211" t="s">
        <v>255</v>
      </c>
      <c r="B211">
        <v>29</v>
      </c>
      <c r="C211" t="s">
        <v>15</v>
      </c>
      <c r="D211" t="s">
        <v>24</v>
      </c>
      <c r="E211" t="s">
        <v>41</v>
      </c>
      <c r="F211" t="s">
        <v>42</v>
      </c>
      <c r="G211">
        <v>4</v>
      </c>
      <c r="H211">
        <v>7</v>
      </c>
      <c r="I211" t="s">
        <v>19</v>
      </c>
      <c r="J211">
        <v>3.3</v>
      </c>
      <c r="K211" t="s">
        <v>48</v>
      </c>
      <c r="L211">
        <v>53000</v>
      </c>
      <c r="M211" t="s">
        <v>29</v>
      </c>
      <c r="N211" t="s">
        <v>21</v>
      </c>
      <c r="O211">
        <v>0</v>
      </c>
    </row>
    <row r="212" spans="1:15" x14ac:dyDescent="0.3">
      <c r="A212" t="s">
        <v>256</v>
      </c>
      <c r="B212">
        <v>31</v>
      </c>
      <c r="C212" t="s">
        <v>23</v>
      </c>
      <c r="D212" t="s">
        <v>16</v>
      </c>
      <c r="E212" t="s">
        <v>31</v>
      </c>
      <c r="F212" t="s">
        <v>32</v>
      </c>
      <c r="G212">
        <v>5</v>
      </c>
      <c r="H212">
        <v>6</v>
      </c>
      <c r="I212" t="s">
        <v>33</v>
      </c>
      <c r="J212">
        <v>3.4</v>
      </c>
      <c r="K212" t="s">
        <v>48</v>
      </c>
      <c r="L212">
        <v>54000</v>
      </c>
      <c r="M212" t="s">
        <v>29</v>
      </c>
      <c r="N212" t="s">
        <v>21</v>
      </c>
      <c r="O212">
        <v>0</v>
      </c>
    </row>
    <row r="213" spans="1:15" x14ac:dyDescent="0.3">
      <c r="A213" t="s">
        <v>257</v>
      </c>
      <c r="B213">
        <v>44</v>
      </c>
      <c r="C213" t="s">
        <v>35</v>
      </c>
      <c r="D213" t="s">
        <v>24</v>
      </c>
      <c r="E213" t="s">
        <v>36</v>
      </c>
      <c r="F213" t="s">
        <v>37</v>
      </c>
      <c r="G213">
        <v>10</v>
      </c>
      <c r="H213">
        <v>8</v>
      </c>
      <c r="I213" t="s">
        <v>27</v>
      </c>
      <c r="J213">
        <v>4.0999999999999996</v>
      </c>
      <c r="K213" t="s">
        <v>28</v>
      </c>
      <c r="L213">
        <v>64000</v>
      </c>
      <c r="M213" t="s">
        <v>19</v>
      </c>
      <c r="N213" t="s">
        <v>39</v>
      </c>
      <c r="O213">
        <v>1</v>
      </c>
    </row>
    <row r="214" spans="1:15" x14ac:dyDescent="0.3">
      <c r="A214" t="s">
        <v>258</v>
      </c>
      <c r="B214">
        <v>37</v>
      </c>
      <c r="C214" t="s">
        <v>44</v>
      </c>
      <c r="D214" t="s">
        <v>16</v>
      </c>
      <c r="E214" t="s">
        <v>17</v>
      </c>
      <c r="F214" t="s">
        <v>18</v>
      </c>
      <c r="G214">
        <v>7</v>
      </c>
      <c r="H214">
        <v>7</v>
      </c>
      <c r="I214" t="s">
        <v>19</v>
      </c>
      <c r="J214">
        <v>3.5</v>
      </c>
      <c r="K214" t="s">
        <v>48</v>
      </c>
      <c r="L214">
        <v>56000</v>
      </c>
      <c r="M214" t="s">
        <v>29</v>
      </c>
      <c r="N214" t="s">
        <v>21</v>
      </c>
      <c r="O214">
        <v>0</v>
      </c>
    </row>
    <row r="215" spans="1:15" x14ac:dyDescent="0.3">
      <c r="A215" t="s">
        <v>259</v>
      </c>
      <c r="B215">
        <v>39</v>
      </c>
      <c r="C215" t="s">
        <v>44</v>
      </c>
      <c r="D215" t="s">
        <v>16</v>
      </c>
      <c r="E215" t="s">
        <v>41</v>
      </c>
      <c r="F215" t="s">
        <v>42</v>
      </c>
      <c r="G215">
        <v>8</v>
      </c>
      <c r="H215">
        <v>8</v>
      </c>
      <c r="I215" t="s">
        <v>27</v>
      </c>
      <c r="J215">
        <v>3.6</v>
      </c>
      <c r="K215" t="s">
        <v>19</v>
      </c>
      <c r="L215">
        <v>57000</v>
      </c>
      <c r="M215" t="s">
        <v>29</v>
      </c>
      <c r="N215" t="s">
        <v>21</v>
      </c>
      <c r="O215">
        <v>0</v>
      </c>
    </row>
    <row r="216" spans="1:15" x14ac:dyDescent="0.3">
      <c r="A216" t="s">
        <v>260</v>
      </c>
      <c r="B216">
        <v>35</v>
      </c>
      <c r="C216" t="s">
        <v>23</v>
      </c>
      <c r="D216" t="s">
        <v>24</v>
      </c>
      <c r="E216" t="s">
        <v>25</v>
      </c>
      <c r="F216" t="s">
        <v>26</v>
      </c>
      <c r="G216">
        <v>6</v>
      </c>
      <c r="H216">
        <v>7</v>
      </c>
      <c r="I216" t="s">
        <v>19</v>
      </c>
      <c r="J216">
        <v>3.7</v>
      </c>
      <c r="K216" t="s">
        <v>19</v>
      </c>
      <c r="L216">
        <v>58000</v>
      </c>
      <c r="M216" t="s">
        <v>29</v>
      </c>
      <c r="N216" t="s">
        <v>21</v>
      </c>
      <c r="O216">
        <v>0</v>
      </c>
    </row>
    <row r="217" spans="1:15" x14ac:dyDescent="0.3">
      <c r="A217" t="s">
        <v>261</v>
      </c>
      <c r="B217">
        <v>36</v>
      </c>
      <c r="C217" t="s">
        <v>44</v>
      </c>
      <c r="D217" t="s">
        <v>16</v>
      </c>
      <c r="E217" t="s">
        <v>31</v>
      </c>
      <c r="F217" t="s">
        <v>26</v>
      </c>
      <c r="G217">
        <v>7</v>
      </c>
      <c r="H217">
        <v>7</v>
      </c>
      <c r="I217" t="s">
        <v>19</v>
      </c>
      <c r="J217">
        <v>3.8</v>
      </c>
      <c r="K217" t="s">
        <v>19</v>
      </c>
      <c r="L217">
        <v>59000</v>
      </c>
      <c r="M217" t="s">
        <v>29</v>
      </c>
      <c r="N217" t="s">
        <v>21</v>
      </c>
      <c r="O217">
        <v>0</v>
      </c>
    </row>
    <row r="218" spans="1:15" x14ac:dyDescent="0.3">
      <c r="A218" t="s">
        <v>262</v>
      </c>
      <c r="B218">
        <v>30</v>
      </c>
      <c r="C218" t="s">
        <v>15</v>
      </c>
      <c r="D218" t="s">
        <v>16</v>
      </c>
      <c r="E218" t="s">
        <v>17</v>
      </c>
      <c r="F218" t="s">
        <v>18</v>
      </c>
      <c r="G218">
        <v>5</v>
      </c>
      <c r="H218">
        <v>6</v>
      </c>
      <c r="I218" t="s">
        <v>33</v>
      </c>
      <c r="J218">
        <v>3.9</v>
      </c>
      <c r="K218" t="s">
        <v>19</v>
      </c>
      <c r="L218">
        <v>60000</v>
      </c>
      <c r="M218" t="s">
        <v>29</v>
      </c>
      <c r="N218" t="s">
        <v>21</v>
      </c>
      <c r="O218">
        <v>0</v>
      </c>
    </row>
    <row r="219" spans="1:15" x14ac:dyDescent="0.3">
      <c r="A219" t="s">
        <v>263</v>
      </c>
      <c r="B219">
        <v>31</v>
      </c>
      <c r="C219" t="s">
        <v>23</v>
      </c>
      <c r="D219" t="s">
        <v>24</v>
      </c>
      <c r="E219" t="s">
        <v>45</v>
      </c>
      <c r="F219" t="s">
        <v>46</v>
      </c>
      <c r="G219">
        <v>6</v>
      </c>
      <c r="H219">
        <v>7</v>
      </c>
      <c r="I219" t="s">
        <v>19</v>
      </c>
      <c r="J219">
        <v>4</v>
      </c>
      <c r="K219" t="s">
        <v>19</v>
      </c>
      <c r="L219">
        <v>61000</v>
      </c>
      <c r="M219" t="s">
        <v>19</v>
      </c>
      <c r="N219" t="s">
        <v>21</v>
      </c>
      <c r="O219">
        <v>0</v>
      </c>
    </row>
    <row r="220" spans="1:15" x14ac:dyDescent="0.3">
      <c r="A220" t="s">
        <v>264</v>
      </c>
      <c r="B220">
        <v>38</v>
      </c>
      <c r="C220" t="s">
        <v>44</v>
      </c>
      <c r="D220" t="s">
        <v>16</v>
      </c>
      <c r="E220" t="s">
        <v>41</v>
      </c>
      <c r="F220" t="s">
        <v>42</v>
      </c>
      <c r="G220">
        <v>9</v>
      </c>
      <c r="H220">
        <v>8</v>
      </c>
      <c r="I220" t="s">
        <v>27</v>
      </c>
      <c r="J220">
        <v>4.2</v>
      </c>
      <c r="K220" t="s">
        <v>28</v>
      </c>
      <c r="L220">
        <v>62000</v>
      </c>
      <c r="M220" t="s">
        <v>19</v>
      </c>
      <c r="N220" t="s">
        <v>21</v>
      </c>
      <c r="O220">
        <v>0</v>
      </c>
    </row>
    <row r="221" spans="1:15" x14ac:dyDescent="0.3">
      <c r="A221" t="s">
        <v>265</v>
      </c>
      <c r="B221">
        <v>34</v>
      </c>
      <c r="C221" t="s">
        <v>23</v>
      </c>
      <c r="D221" t="s">
        <v>16</v>
      </c>
      <c r="E221" t="s">
        <v>31</v>
      </c>
      <c r="F221" t="s">
        <v>32</v>
      </c>
      <c r="G221">
        <v>8</v>
      </c>
      <c r="H221">
        <v>8</v>
      </c>
      <c r="I221" t="s">
        <v>27</v>
      </c>
      <c r="J221">
        <v>4.3</v>
      </c>
      <c r="K221" t="s">
        <v>28</v>
      </c>
      <c r="L221">
        <v>63000</v>
      </c>
      <c r="M221" t="s">
        <v>19</v>
      </c>
      <c r="N221" t="s">
        <v>21</v>
      </c>
      <c r="O221">
        <v>0</v>
      </c>
    </row>
    <row r="222" spans="1:15" x14ac:dyDescent="0.3">
      <c r="A222" t="s">
        <v>266</v>
      </c>
      <c r="B222">
        <v>37</v>
      </c>
      <c r="C222" t="s">
        <v>44</v>
      </c>
      <c r="D222" t="s">
        <v>24</v>
      </c>
      <c r="E222" t="s">
        <v>17</v>
      </c>
      <c r="F222" t="s">
        <v>18</v>
      </c>
      <c r="G222">
        <v>9</v>
      </c>
      <c r="H222">
        <v>8</v>
      </c>
      <c r="I222" t="s">
        <v>27</v>
      </c>
      <c r="J222">
        <v>4.4000000000000004</v>
      </c>
      <c r="K222" t="s">
        <v>28</v>
      </c>
      <c r="L222">
        <v>64000</v>
      </c>
      <c r="M222" t="s">
        <v>19</v>
      </c>
      <c r="N222" t="s">
        <v>21</v>
      </c>
      <c r="O222">
        <v>0</v>
      </c>
    </row>
    <row r="223" spans="1:15" x14ac:dyDescent="0.3">
      <c r="A223" t="s">
        <v>267</v>
      </c>
      <c r="B223">
        <v>40</v>
      </c>
      <c r="C223" t="s">
        <v>44</v>
      </c>
      <c r="D223" t="s">
        <v>16</v>
      </c>
      <c r="E223" t="s">
        <v>25</v>
      </c>
      <c r="F223" t="s">
        <v>26</v>
      </c>
      <c r="G223">
        <v>10</v>
      </c>
      <c r="H223">
        <v>8</v>
      </c>
      <c r="I223" t="s">
        <v>27</v>
      </c>
      <c r="J223">
        <v>4.5</v>
      </c>
      <c r="K223" t="s">
        <v>28</v>
      </c>
      <c r="L223">
        <v>65000</v>
      </c>
      <c r="M223" t="s">
        <v>19</v>
      </c>
      <c r="N223" t="s">
        <v>21</v>
      </c>
      <c r="O223">
        <v>0</v>
      </c>
    </row>
    <row r="224" spans="1:15" x14ac:dyDescent="0.3">
      <c r="A224" t="s">
        <v>268</v>
      </c>
      <c r="B224">
        <v>36</v>
      </c>
      <c r="C224" t="s">
        <v>44</v>
      </c>
      <c r="D224" t="s">
        <v>16</v>
      </c>
      <c r="E224" t="s">
        <v>36</v>
      </c>
      <c r="F224" t="s">
        <v>37</v>
      </c>
      <c r="G224">
        <v>7</v>
      </c>
      <c r="H224">
        <v>7</v>
      </c>
      <c r="I224" t="s">
        <v>19</v>
      </c>
      <c r="J224">
        <v>4.5999999999999996</v>
      </c>
      <c r="K224" t="s">
        <v>50</v>
      </c>
      <c r="L224">
        <v>66000</v>
      </c>
      <c r="M224" t="s">
        <v>19</v>
      </c>
      <c r="N224" t="s">
        <v>21</v>
      </c>
      <c r="O224">
        <v>0</v>
      </c>
    </row>
    <row r="225" spans="1:15" x14ac:dyDescent="0.3">
      <c r="A225" t="s">
        <v>269</v>
      </c>
      <c r="B225">
        <v>29</v>
      </c>
      <c r="C225" t="s">
        <v>15</v>
      </c>
      <c r="D225" t="s">
        <v>16</v>
      </c>
      <c r="E225" t="s">
        <v>31</v>
      </c>
      <c r="F225" t="s">
        <v>32</v>
      </c>
      <c r="G225">
        <v>4</v>
      </c>
      <c r="H225">
        <v>6</v>
      </c>
      <c r="I225" t="s">
        <v>33</v>
      </c>
      <c r="J225">
        <v>3</v>
      </c>
      <c r="K225" t="s">
        <v>66</v>
      </c>
      <c r="L225">
        <v>49000</v>
      </c>
      <c r="M225" t="s">
        <v>20</v>
      </c>
      <c r="N225" t="s">
        <v>21</v>
      </c>
      <c r="O225">
        <v>0</v>
      </c>
    </row>
    <row r="226" spans="1:15" x14ac:dyDescent="0.3">
      <c r="A226" t="s">
        <v>270</v>
      </c>
      <c r="B226">
        <v>30</v>
      </c>
      <c r="C226" t="s">
        <v>15</v>
      </c>
      <c r="D226" t="s">
        <v>16</v>
      </c>
      <c r="E226" t="s">
        <v>17</v>
      </c>
      <c r="F226" t="s">
        <v>18</v>
      </c>
      <c r="G226">
        <v>5</v>
      </c>
      <c r="H226">
        <v>7</v>
      </c>
      <c r="I226" t="s">
        <v>19</v>
      </c>
      <c r="J226">
        <v>3.1</v>
      </c>
      <c r="K226" t="s">
        <v>48</v>
      </c>
      <c r="L226">
        <v>50000</v>
      </c>
      <c r="M226" t="s">
        <v>20</v>
      </c>
      <c r="N226" t="s">
        <v>21</v>
      </c>
      <c r="O226">
        <v>0</v>
      </c>
    </row>
    <row r="227" spans="1:15" x14ac:dyDescent="0.3">
      <c r="A227" t="s">
        <v>271</v>
      </c>
      <c r="B227">
        <v>41</v>
      </c>
      <c r="C227" t="s">
        <v>35</v>
      </c>
      <c r="D227" t="s">
        <v>24</v>
      </c>
      <c r="E227" t="s">
        <v>41</v>
      </c>
      <c r="F227" t="s">
        <v>42</v>
      </c>
      <c r="G227">
        <v>11</v>
      </c>
      <c r="H227">
        <v>9</v>
      </c>
      <c r="I227" t="s">
        <v>38</v>
      </c>
      <c r="J227">
        <v>4.7</v>
      </c>
      <c r="K227" t="s">
        <v>50</v>
      </c>
      <c r="L227">
        <v>67000</v>
      </c>
      <c r="M227" t="s">
        <v>19</v>
      </c>
      <c r="N227" t="s">
        <v>21</v>
      </c>
      <c r="O227">
        <v>0</v>
      </c>
    </row>
    <row r="228" spans="1:15" x14ac:dyDescent="0.3">
      <c r="A228" t="s">
        <v>272</v>
      </c>
      <c r="B228">
        <v>31</v>
      </c>
      <c r="C228" t="s">
        <v>23</v>
      </c>
      <c r="D228" t="s">
        <v>16</v>
      </c>
      <c r="E228" t="s">
        <v>25</v>
      </c>
      <c r="F228" t="s">
        <v>26</v>
      </c>
      <c r="G228">
        <v>6</v>
      </c>
      <c r="H228">
        <v>7</v>
      </c>
      <c r="I228" t="s">
        <v>19</v>
      </c>
      <c r="J228">
        <v>3.2</v>
      </c>
      <c r="K228" t="s">
        <v>48</v>
      </c>
      <c r="L228">
        <v>51000</v>
      </c>
      <c r="M228" t="s">
        <v>29</v>
      </c>
      <c r="N228" t="s">
        <v>21</v>
      </c>
      <c r="O228">
        <v>0</v>
      </c>
    </row>
    <row r="229" spans="1:15" x14ac:dyDescent="0.3">
      <c r="A229" t="s">
        <v>273</v>
      </c>
      <c r="B229">
        <v>28</v>
      </c>
      <c r="C229" t="s">
        <v>15</v>
      </c>
      <c r="D229" t="s">
        <v>16</v>
      </c>
      <c r="E229" t="s">
        <v>45</v>
      </c>
      <c r="F229" t="s">
        <v>46</v>
      </c>
      <c r="G229">
        <v>3</v>
      </c>
      <c r="H229">
        <v>6</v>
      </c>
      <c r="I229" t="s">
        <v>33</v>
      </c>
      <c r="J229">
        <v>3.3</v>
      </c>
      <c r="K229" t="s">
        <v>48</v>
      </c>
      <c r="L229">
        <v>52000</v>
      </c>
      <c r="M229" t="s">
        <v>29</v>
      </c>
      <c r="N229" t="s">
        <v>21</v>
      </c>
      <c r="O229">
        <v>0</v>
      </c>
    </row>
    <row r="230" spans="1:15" x14ac:dyDescent="0.3">
      <c r="A230" t="s">
        <v>274</v>
      </c>
      <c r="B230">
        <v>36</v>
      </c>
      <c r="C230" t="s">
        <v>44</v>
      </c>
      <c r="D230" t="s">
        <v>16</v>
      </c>
      <c r="E230" t="s">
        <v>17</v>
      </c>
      <c r="F230" t="s">
        <v>18</v>
      </c>
      <c r="G230">
        <v>7</v>
      </c>
      <c r="H230">
        <v>7</v>
      </c>
      <c r="I230" t="s">
        <v>19</v>
      </c>
      <c r="J230">
        <v>3.4</v>
      </c>
      <c r="K230" t="s">
        <v>48</v>
      </c>
      <c r="L230">
        <v>53000</v>
      </c>
      <c r="M230" t="s">
        <v>29</v>
      </c>
      <c r="N230" t="s">
        <v>21</v>
      </c>
      <c r="O230">
        <v>0</v>
      </c>
    </row>
    <row r="231" spans="1:15" x14ac:dyDescent="0.3">
      <c r="A231" t="s">
        <v>275</v>
      </c>
      <c r="B231">
        <v>30</v>
      </c>
      <c r="C231" t="s">
        <v>15</v>
      </c>
      <c r="D231" t="s">
        <v>24</v>
      </c>
      <c r="E231" t="s">
        <v>31</v>
      </c>
      <c r="F231" t="s">
        <v>32</v>
      </c>
      <c r="G231">
        <v>6</v>
      </c>
      <c r="H231">
        <v>7</v>
      </c>
      <c r="I231" t="s">
        <v>19</v>
      </c>
      <c r="J231">
        <v>3.5</v>
      </c>
      <c r="K231" t="s">
        <v>48</v>
      </c>
      <c r="L231">
        <v>54000</v>
      </c>
      <c r="M231" t="s">
        <v>29</v>
      </c>
      <c r="N231" t="s">
        <v>21</v>
      </c>
      <c r="O231">
        <v>0</v>
      </c>
    </row>
    <row r="232" spans="1:15" x14ac:dyDescent="0.3">
      <c r="A232" t="s">
        <v>276</v>
      </c>
      <c r="B232">
        <v>40</v>
      </c>
      <c r="C232" t="s">
        <v>44</v>
      </c>
      <c r="D232" t="s">
        <v>16</v>
      </c>
      <c r="E232" t="s">
        <v>36</v>
      </c>
      <c r="F232" t="s">
        <v>37</v>
      </c>
      <c r="G232">
        <v>8</v>
      </c>
      <c r="H232">
        <v>8</v>
      </c>
      <c r="I232" t="s">
        <v>27</v>
      </c>
      <c r="J232">
        <v>3.6</v>
      </c>
      <c r="K232" t="s">
        <v>19</v>
      </c>
      <c r="L232">
        <v>55000</v>
      </c>
      <c r="M232" t="s">
        <v>29</v>
      </c>
      <c r="N232" t="s">
        <v>21</v>
      </c>
      <c r="O232">
        <v>0</v>
      </c>
    </row>
    <row r="233" spans="1:15" x14ac:dyDescent="0.3">
      <c r="A233" t="s">
        <v>277</v>
      </c>
      <c r="B233">
        <v>35</v>
      </c>
      <c r="C233" t="s">
        <v>23</v>
      </c>
      <c r="D233" t="s">
        <v>16</v>
      </c>
      <c r="E233" t="s">
        <v>41</v>
      </c>
      <c r="F233" t="s">
        <v>42</v>
      </c>
      <c r="G233">
        <v>7</v>
      </c>
      <c r="H233">
        <v>7</v>
      </c>
      <c r="I233" t="s">
        <v>19</v>
      </c>
      <c r="J233">
        <v>3.7</v>
      </c>
      <c r="K233" t="s">
        <v>19</v>
      </c>
      <c r="L233">
        <v>56000</v>
      </c>
      <c r="M233" t="s">
        <v>29</v>
      </c>
      <c r="N233" t="s">
        <v>21</v>
      </c>
      <c r="O233">
        <v>0</v>
      </c>
    </row>
    <row r="234" spans="1:15" x14ac:dyDescent="0.3">
      <c r="A234" t="s">
        <v>278</v>
      </c>
      <c r="B234">
        <v>34</v>
      </c>
      <c r="C234" t="s">
        <v>23</v>
      </c>
      <c r="D234" t="s">
        <v>16</v>
      </c>
      <c r="E234" t="s">
        <v>25</v>
      </c>
      <c r="F234" t="s">
        <v>26</v>
      </c>
      <c r="G234">
        <v>6</v>
      </c>
      <c r="H234">
        <v>7</v>
      </c>
      <c r="I234" t="s">
        <v>19</v>
      </c>
      <c r="J234">
        <v>3.8</v>
      </c>
      <c r="K234" t="s">
        <v>19</v>
      </c>
      <c r="L234">
        <v>57000</v>
      </c>
      <c r="M234" t="s">
        <v>29</v>
      </c>
      <c r="N234" t="s">
        <v>21</v>
      </c>
      <c r="O234">
        <v>0</v>
      </c>
    </row>
    <row r="235" spans="1:15" x14ac:dyDescent="0.3">
      <c r="A235" t="s">
        <v>279</v>
      </c>
      <c r="B235">
        <v>26</v>
      </c>
      <c r="C235" t="s">
        <v>15</v>
      </c>
      <c r="D235" t="s">
        <v>24</v>
      </c>
      <c r="E235" t="s">
        <v>17</v>
      </c>
      <c r="F235" t="s">
        <v>18</v>
      </c>
      <c r="G235">
        <v>4</v>
      </c>
      <c r="H235">
        <v>6</v>
      </c>
      <c r="I235" t="s">
        <v>33</v>
      </c>
      <c r="J235">
        <v>3.9</v>
      </c>
      <c r="K235" t="s">
        <v>19</v>
      </c>
      <c r="L235">
        <v>58000</v>
      </c>
      <c r="M235" t="s">
        <v>29</v>
      </c>
      <c r="N235" t="s">
        <v>21</v>
      </c>
      <c r="O235">
        <v>0</v>
      </c>
    </row>
    <row r="236" spans="1:15" x14ac:dyDescent="0.3">
      <c r="A236" t="s">
        <v>280</v>
      </c>
      <c r="B236">
        <v>32</v>
      </c>
      <c r="C236" t="s">
        <v>23</v>
      </c>
      <c r="D236" t="s">
        <v>16</v>
      </c>
      <c r="E236" t="s">
        <v>31</v>
      </c>
      <c r="F236" t="s">
        <v>26</v>
      </c>
      <c r="G236">
        <v>6</v>
      </c>
      <c r="H236">
        <v>7</v>
      </c>
      <c r="I236" t="s">
        <v>19</v>
      </c>
      <c r="J236">
        <v>4</v>
      </c>
      <c r="K236" t="s">
        <v>19</v>
      </c>
      <c r="L236">
        <v>59000</v>
      </c>
      <c r="M236" t="s">
        <v>29</v>
      </c>
      <c r="N236" t="s">
        <v>21</v>
      </c>
      <c r="O236">
        <v>0</v>
      </c>
    </row>
    <row r="237" spans="1:15" x14ac:dyDescent="0.3">
      <c r="A237" t="s">
        <v>281</v>
      </c>
      <c r="B237">
        <v>44</v>
      </c>
      <c r="C237" t="s">
        <v>35</v>
      </c>
      <c r="D237" t="s">
        <v>16</v>
      </c>
      <c r="E237" t="s">
        <v>41</v>
      </c>
      <c r="F237" t="s">
        <v>42</v>
      </c>
      <c r="G237">
        <v>8</v>
      </c>
      <c r="H237">
        <v>8</v>
      </c>
      <c r="I237" t="s">
        <v>27</v>
      </c>
      <c r="J237">
        <v>3.9</v>
      </c>
      <c r="K237" t="s">
        <v>19</v>
      </c>
      <c r="L237">
        <v>58000</v>
      </c>
      <c r="M237" t="s">
        <v>29</v>
      </c>
      <c r="N237" t="s">
        <v>21</v>
      </c>
      <c r="O237">
        <v>0</v>
      </c>
    </row>
    <row r="238" spans="1:15" x14ac:dyDescent="0.3">
      <c r="A238" t="s">
        <v>282</v>
      </c>
      <c r="B238">
        <v>38</v>
      </c>
      <c r="C238" t="s">
        <v>44</v>
      </c>
      <c r="D238" t="s">
        <v>24</v>
      </c>
      <c r="E238" t="s">
        <v>31</v>
      </c>
      <c r="F238" t="s">
        <v>26</v>
      </c>
      <c r="G238">
        <v>9</v>
      </c>
      <c r="H238">
        <v>8</v>
      </c>
      <c r="I238" t="s">
        <v>27</v>
      </c>
      <c r="J238">
        <v>4.0999999999999996</v>
      </c>
      <c r="K238" t="s">
        <v>28</v>
      </c>
      <c r="L238">
        <v>60000</v>
      </c>
      <c r="M238" t="s">
        <v>29</v>
      </c>
      <c r="N238" t="s">
        <v>21</v>
      </c>
      <c r="O238">
        <v>0</v>
      </c>
    </row>
    <row r="239" spans="1:15" x14ac:dyDescent="0.3">
      <c r="A239" t="s">
        <v>283</v>
      </c>
      <c r="B239">
        <v>45</v>
      </c>
      <c r="C239" t="s">
        <v>35</v>
      </c>
      <c r="D239" t="s">
        <v>16</v>
      </c>
      <c r="E239" t="s">
        <v>17</v>
      </c>
      <c r="F239" t="s">
        <v>18</v>
      </c>
      <c r="G239">
        <v>10</v>
      </c>
      <c r="H239">
        <v>8</v>
      </c>
      <c r="I239" t="s">
        <v>27</v>
      </c>
      <c r="J239">
        <v>4.2</v>
      </c>
      <c r="K239" t="s">
        <v>28</v>
      </c>
      <c r="L239">
        <v>61000</v>
      </c>
      <c r="M239" t="s">
        <v>19</v>
      </c>
      <c r="N239" t="s">
        <v>21</v>
      </c>
      <c r="O239">
        <v>0</v>
      </c>
    </row>
    <row r="240" spans="1:15" x14ac:dyDescent="0.3">
      <c r="A240" t="s">
        <v>284</v>
      </c>
      <c r="B240">
        <v>29</v>
      </c>
      <c r="C240" t="s">
        <v>15</v>
      </c>
      <c r="D240" t="s">
        <v>24</v>
      </c>
      <c r="E240" t="s">
        <v>45</v>
      </c>
      <c r="F240" t="s">
        <v>46</v>
      </c>
      <c r="G240">
        <v>4</v>
      </c>
      <c r="H240">
        <v>7</v>
      </c>
      <c r="I240" t="s">
        <v>19</v>
      </c>
      <c r="J240">
        <v>3.8</v>
      </c>
      <c r="K240" t="s">
        <v>19</v>
      </c>
      <c r="L240">
        <v>57000</v>
      </c>
      <c r="M240" t="s">
        <v>29</v>
      </c>
      <c r="N240" t="s">
        <v>21</v>
      </c>
      <c r="O240">
        <v>0</v>
      </c>
    </row>
    <row r="241" spans="1:15" x14ac:dyDescent="0.3">
      <c r="A241" t="s">
        <v>285</v>
      </c>
      <c r="B241">
        <v>31</v>
      </c>
      <c r="C241" t="s">
        <v>23</v>
      </c>
      <c r="D241" t="s">
        <v>16</v>
      </c>
      <c r="E241" t="s">
        <v>36</v>
      </c>
      <c r="F241" t="s">
        <v>37</v>
      </c>
      <c r="G241">
        <v>5</v>
      </c>
      <c r="H241">
        <v>6</v>
      </c>
      <c r="I241" t="s">
        <v>33</v>
      </c>
      <c r="J241">
        <v>3.7</v>
      </c>
      <c r="K241" t="s">
        <v>19</v>
      </c>
      <c r="L241">
        <v>56000</v>
      </c>
      <c r="M241" t="s">
        <v>29</v>
      </c>
      <c r="N241" t="s">
        <v>21</v>
      </c>
      <c r="O241">
        <v>0</v>
      </c>
    </row>
    <row r="242" spans="1:15" x14ac:dyDescent="0.3">
      <c r="A242" t="s">
        <v>286</v>
      </c>
      <c r="B242">
        <v>39</v>
      </c>
      <c r="C242" t="s">
        <v>44</v>
      </c>
      <c r="D242" t="s">
        <v>16</v>
      </c>
      <c r="E242" t="s">
        <v>31</v>
      </c>
      <c r="F242" t="s">
        <v>32</v>
      </c>
      <c r="G242">
        <v>7</v>
      </c>
      <c r="H242">
        <v>7</v>
      </c>
      <c r="I242" t="s">
        <v>19</v>
      </c>
      <c r="J242">
        <v>3.8</v>
      </c>
      <c r="K242" t="s">
        <v>19</v>
      </c>
      <c r="L242">
        <v>57000</v>
      </c>
      <c r="M242" t="s">
        <v>29</v>
      </c>
      <c r="N242" t="s">
        <v>21</v>
      </c>
      <c r="O242">
        <v>0</v>
      </c>
    </row>
    <row r="243" spans="1:15" x14ac:dyDescent="0.3">
      <c r="A243" t="s">
        <v>287</v>
      </c>
      <c r="B243">
        <v>35</v>
      </c>
      <c r="C243" t="s">
        <v>23</v>
      </c>
      <c r="D243" t="s">
        <v>24</v>
      </c>
      <c r="E243" t="s">
        <v>41</v>
      </c>
      <c r="F243" t="s">
        <v>42</v>
      </c>
      <c r="G243">
        <v>6</v>
      </c>
      <c r="H243">
        <v>7</v>
      </c>
      <c r="I243" t="s">
        <v>19</v>
      </c>
      <c r="J243">
        <v>3.9</v>
      </c>
      <c r="K243" t="s">
        <v>19</v>
      </c>
      <c r="L243">
        <v>58000</v>
      </c>
      <c r="M243" t="s">
        <v>29</v>
      </c>
      <c r="N243" t="s">
        <v>21</v>
      </c>
      <c r="O243">
        <v>0</v>
      </c>
    </row>
    <row r="244" spans="1:15" x14ac:dyDescent="0.3">
      <c r="A244" t="s">
        <v>288</v>
      </c>
      <c r="B244">
        <v>33</v>
      </c>
      <c r="C244" t="s">
        <v>23</v>
      </c>
      <c r="D244" t="s">
        <v>16</v>
      </c>
      <c r="E244" t="s">
        <v>25</v>
      </c>
      <c r="F244" t="s">
        <v>26</v>
      </c>
      <c r="G244">
        <v>5</v>
      </c>
      <c r="H244">
        <v>6</v>
      </c>
      <c r="I244" t="s">
        <v>33</v>
      </c>
      <c r="J244">
        <v>4</v>
      </c>
      <c r="K244" t="s">
        <v>19</v>
      </c>
      <c r="L244">
        <v>59000</v>
      </c>
      <c r="M244" t="s">
        <v>29</v>
      </c>
      <c r="N244" t="s">
        <v>21</v>
      </c>
      <c r="O244">
        <v>0</v>
      </c>
    </row>
    <row r="245" spans="1:15" x14ac:dyDescent="0.3">
      <c r="A245" t="s">
        <v>289</v>
      </c>
      <c r="B245">
        <v>34</v>
      </c>
      <c r="C245" t="s">
        <v>23</v>
      </c>
      <c r="D245" t="s">
        <v>16</v>
      </c>
      <c r="E245" t="s">
        <v>17</v>
      </c>
      <c r="F245" t="s">
        <v>18</v>
      </c>
      <c r="G245">
        <v>6</v>
      </c>
      <c r="H245">
        <v>7</v>
      </c>
      <c r="I245" t="s">
        <v>19</v>
      </c>
      <c r="J245">
        <v>4.0999999999999996</v>
      </c>
      <c r="K245" t="s">
        <v>28</v>
      </c>
      <c r="L245">
        <v>60000</v>
      </c>
      <c r="M245" t="s">
        <v>29</v>
      </c>
      <c r="N245" t="s">
        <v>21</v>
      </c>
      <c r="O245">
        <v>0</v>
      </c>
    </row>
    <row r="246" spans="1:15" x14ac:dyDescent="0.3">
      <c r="A246" t="s">
        <v>290</v>
      </c>
      <c r="B246">
        <v>27</v>
      </c>
      <c r="C246" t="s">
        <v>15</v>
      </c>
      <c r="D246" t="s">
        <v>16</v>
      </c>
      <c r="E246" t="s">
        <v>31</v>
      </c>
      <c r="F246" t="s">
        <v>26</v>
      </c>
      <c r="G246">
        <v>3</v>
      </c>
      <c r="H246">
        <v>6</v>
      </c>
      <c r="I246" t="s">
        <v>33</v>
      </c>
      <c r="J246">
        <v>4.2</v>
      </c>
      <c r="K246" t="s">
        <v>28</v>
      </c>
      <c r="L246">
        <v>61000</v>
      </c>
      <c r="M246" t="s">
        <v>19</v>
      </c>
      <c r="N246" t="s">
        <v>21</v>
      </c>
      <c r="O246">
        <v>0</v>
      </c>
    </row>
    <row r="247" spans="1:15" x14ac:dyDescent="0.3">
      <c r="A247" t="s">
        <v>291</v>
      </c>
      <c r="B247">
        <v>38</v>
      </c>
      <c r="C247" t="s">
        <v>44</v>
      </c>
      <c r="D247" t="s">
        <v>16</v>
      </c>
      <c r="E247" t="s">
        <v>45</v>
      </c>
      <c r="F247" t="s">
        <v>46</v>
      </c>
      <c r="G247">
        <v>8</v>
      </c>
      <c r="H247">
        <v>8</v>
      </c>
      <c r="I247" t="s">
        <v>27</v>
      </c>
      <c r="J247">
        <v>4.3</v>
      </c>
      <c r="K247" t="s">
        <v>28</v>
      </c>
      <c r="L247">
        <v>62000</v>
      </c>
      <c r="M247" t="s">
        <v>19</v>
      </c>
      <c r="N247" t="s">
        <v>21</v>
      </c>
      <c r="O247">
        <v>0</v>
      </c>
    </row>
    <row r="248" spans="1:15" x14ac:dyDescent="0.3">
      <c r="A248" t="s">
        <v>292</v>
      </c>
      <c r="B248">
        <v>32</v>
      </c>
      <c r="C248" t="s">
        <v>23</v>
      </c>
      <c r="D248" t="s">
        <v>24</v>
      </c>
      <c r="E248" t="s">
        <v>17</v>
      </c>
      <c r="F248" t="s">
        <v>18</v>
      </c>
      <c r="G248">
        <v>7</v>
      </c>
      <c r="H248">
        <v>7</v>
      </c>
      <c r="I248" t="s">
        <v>19</v>
      </c>
      <c r="J248">
        <v>4.4000000000000004</v>
      </c>
      <c r="K248" t="s">
        <v>28</v>
      </c>
      <c r="L248">
        <v>63000</v>
      </c>
      <c r="M248" t="s">
        <v>19</v>
      </c>
      <c r="N248" t="s">
        <v>21</v>
      </c>
      <c r="O248">
        <v>0</v>
      </c>
    </row>
    <row r="249" spans="1:15" x14ac:dyDescent="0.3">
      <c r="A249" t="s">
        <v>293</v>
      </c>
      <c r="B249">
        <v>37</v>
      </c>
      <c r="C249" t="s">
        <v>44</v>
      </c>
      <c r="D249" t="s">
        <v>16</v>
      </c>
      <c r="E249" t="s">
        <v>41</v>
      </c>
      <c r="F249" t="s">
        <v>42</v>
      </c>
      <c r="G249">
        <v>8</v>
      </c>
      <c r="H249">
        <v>8</v>
      </c>
      <c r="I249" t="s">
        <v>27</v>
      </c>
      <c r="J249">
        <v>4.5</v>
      </c>
      <c r="K249" t="s">
        <v>28</v>
      </c>
      <c r="L249">
        <v>64000</v>
      </c>
      <c r="M249" t="s">
        <v>19</v>
      </c>
      <c r="N249" t="s">
        <v>21</v>
      </c>
      <c r="O249">
        <v>0</v>
      </c>
    </row>
    <row r="250" spans="1:15" x14ac:dyDescent="0.3">
      <c r="A250" t="s">
        <v>294</v>
      </c>
      <c r="B250">
        <v>40</v>
      </c>
      <c r="C250" t="s">
        <v>44</v>
      </c>
      <c r="D250" t="s">
        <v>16</v>
      </c>
      <c r="E250" t="s">
        <v>25</v>
      </c>
      <c r="F250" t="s">
        <v>26</v>
      </c>
      <c r="G250">
        <v>9</v>
      </c>
      <c r="H250">
        <v>8</v>
      </c>
      <c r="I250" t="s">
        <v>27</v>
      </c>
      <c r="J250">
        <v>4.5999999999999996</v>
      </c>
      <c r="K250" t="s">
        <v>50</v>
      </c>
      <c r="L250">
        <v>65000</v>
      </c>
      <c r="M250" t="s">
        <v>19</v>
      </c>
      <c r="N250" t="s">
        <v>21</v>
      </c>
      <c r="O250">
        <v>0</v>
      </c>
    </row>
    <row r="251" spans="1:15" x14ac:dyDescent="0.3">
      <c r="A251" t="s">
        <v>295</v>
      </c>
      <c r="B251">
        <v>29</v>
      </c>
      <c r="C251" t="s">
        <v>15</v>
      </c>
      <c r="D251" t="s">
        <v>24</v>
      </c>
      <c r="E251" t="s">
        <v>36</v>
      </c>
      <c r="F251" t="s">
        <v>37</v>
      </c>
      <c r="G251">
        <v>4</v>
      </c>
      <c r="H251">
        <v>6</v>
      </c>
      <c r="I251" t="s">
        <v>33</v>
      </c>
      <c r="J251">
        <v>3</v>
      </c>
      <c r="K251" t="s">
        <v>66</v>
      </c>
      <c r="L251">
        <v>49000</v>
      </c>
      <c r="M251" t="s">
        <v>20</v>
      </c>
      <c r="N251" t="s">
        <v>21</v>
      </c>
      <c r="O251">
        <v>0</v>
      </c>
    </row>
    <row r="252" spans="1:15" x14ac:dyDescent="0.3">
      <c r="A252" t="s">
        <v>296</v>
      </c>
      <c r="B252">
        <v>31</v>
      </c>
      <c r="C252" t="s">
        <v>23</v>
      </c>
      <c r="D252" t="s">
        <v>16</v>
      </c>
      <c r="E252" t="s">
        <v>17</v>
      </c>
      <c r="F252" t="s">
        <v>18</v>
      </c>
      <c r="G252">
        <v>5</v>
      </c>
      <c r="H252">
        <v>6</v>
      </c>
      <c r="I252" t="s">
        <v>33</v>
      </c>
      <c r="J252">
        <v>3.1</v>
      </c>
      <c r="K252" t="s">
        <v>48</v>
      </c>
      <c r="L252">
        <v>50000</v>
      </c>
      <c r="M252" t="s">
        <v>20</v>
      </c>
      <c r="N252" t="s">
        <v>21</v>
      </c>
      <c r="O252">
        <v>0</v>
      </c>
    </row>
    <row r="253" spans="1:15" x14ac:dyDescent="0.3">
      <c r="A253" t="s">
        <v>297</v>
      </c>
      <c r="B253">
        <v>32</v>
      </c>
      <c r="C253" t="s">
        <v>23</v>
      </c>
      <c r="D253" t="s">
        <v>16</v>
      </c>
      <c r="E253" t="s">
        <v>41</v>
      </c>
      <c r="F253" t="s">
        <v>42</v>
      </c>
      <c r="G253">
        <v>6</v>
      </c>
      <c r="H253">
        <v>7</v>
      </c>
      <c r="I253" t="s">
        <v>19</v>
      </c>
      <c r="J253">
        <v>3.2</v>
      </c>
      <c r="K253" t="s">
        <v>48</v>
      </c>
      <c r="L253">
        <v>51000</v>
      </c>
      <c r="M253" t="s">
        <v>29</v>
      </c>
      <c r="N253" t="s">
        <v>21</v>
      </c>
      <c r="O253">
        <v>0</v>
      </c>
    </row>
    <row r="254" spans="1:15" x14ac:dyDescent="0.3">
      <c r="A254" t="s">
        <v>298</v>
      </c>
      <c r="B254">
        <v>38</v>
      </c>
      <c r="C254" t="s">
        <v>44</v>
      </c>
      <c r="D254" t="s">
        <v>24</v>
      </c>
      <c r="E254" t="s">
        <v>31</v>
      </c>
      <c r="F254" t="s">
        <v>32</v>
      </c>
      <c r="G254">
        <v>9</v>
      </c>
      <c r="H254">
        <v>8</v>
      </c>
      <c r="I254" t="s">
        <v>27</v>
      </c>
      <c r="J254">
        <v>3.3</v>
      </c>
      <c r="K254" t="s">
        <v>48</v>
      </c>
      <c r="L254">
        <v>52000</v>
      </c>
      <c r="M254" t="s">
        <v>29</v>
      </c>
      <c r="N254" t="s">
        <v>21</v>
      </c>
      <c r="O254">
        <v>0</v>
      </c>
    </row>
    <row r="255" spans="1:15" x14ac:dyDescent="0.3">
      <c r="A255" t="s">
        <v>299</v>
      </c>
      <c r="B255">
        <v>29</v>
      </c>
      <c r="C255" t="s">
        <v>15</v>
      </c>
      <c r="D255" t="s">
        <v>16</v>
      </c>
      <c r="E255" t="s">
        <v>36</v>
      </c>
      <c r="F255" t="s">
        <v>37</v>
      </c>
      <c r="G255">
        <v>4</v>
      </c>
      <c r="H255">
        <v>6</v>
      </c>
      <c r="I255" t="s">
        <v>33</v>
      </c>
      <c r="J255">
        <v>3.4</v>
      </c>
      <c r="K255" t="s">
        <v>48</v>
      </c>
      <c r="L255">
        <v>53000</v>
      </c>
      <c r="M255" t="s">
        <v>29</v>
      </c>
      <c r="N255" t="s">
        <v>21</v>
      </c>
      <c r="O255">
        <v>0</v>
      </c>
    </row>
    <row r="256" spans="1:15" x14ac:dyDescent="0.3">
      <c r="A256" t="s">
        <v>300</v>
      </c>
      <c r="B256">
        <v>36</v>
      </c>
      <c r="C256" t="s">
        <v>44</v>
      </c>
      <c r="D256" t="s">
        <v>16</v>
      </c>
      <c r="E256" t="s">
        <v>45</v>
      </c>
      <c r="F256" t="s">
        <v>46</v>
      </c>
      <c r="G256">
        <v>7</v>
      </c>
      <c r="H256">
        <v>7</v>
      </c>
      <c r="I256" t="s">
        <v>19</v>
      </c>
      <c r="J256">
        <v>3.5</v>
      </c>
      <c r="K256" t="s">
        <v>48</v>
      </c>
      <c r="L256">
        <v>54000</v>
      </c>
      <c r="M256" t="s">
        <v>29</v>
      </c>
      <c r="N256" t="s">
        <v>21</v>
      </c>
      <c r="O256">
        <v>0</v>
      </c>
    </row>
    <row r="257" spans="1:15" x14ac:dyDescent="0.3">
      <c r="A257" t="s">
        <v>301</v>
      </c>
      <c r="B257">
        <v>41</v>
      </c>
      <c r="C257" t="s">
        <v>35</v>
      </c>
      <c r="D257" t="s">
        <v>16</v>
      </c>
      <c r="E257" t="s">
        <v>17</v>
      </c>
      <c r="F257" t="s">
        <v>18</v>
      </c>
      <c r="G257">
        <v>10</v>
      </c>
      <c r="H257">
        <v>8</v>
      </c>
      <c r="I257" t="s">
        <v>27</v>
      </c>
      <c r="J257">
        <v>3.6</v>
      </c>
      <c r="K257" t="s">
        <v>19</v>
      </c>
      <c r="L257">
        <v>55000</v>
      </c>
      <c r="M257" t="s">
        <v>29</v>
      </c>
      <c r="N257" t="s">
        <v>21</v>
      </c>
      <c r="O257">
        <v>0</v>
      </c>
    </row>
    <row r="258" spans="1:15" x14ac:dyDescent="0.3">
      <c r="A258" t="s">
        <v>302</v>
      </c>
      <c r="B258">
        <v>34</v>
      </c>
      <c r="C258" t="s">
        <v>23</v>
      </c>
      <c r="D258" t="s">
        <v>16</v>
      </c>
      <c r="E258" t="s">
        <v>41</v>
      </c>
      <c r="F258" t="s">
        <v>42</v>
      </c>
      <c r="G258">
        <v>8</v>
      </c>
      <c r="H258">
        <v>8</v>
      </c>
      <c r="I258" t="s">
        <v>27</v>
      </c>
      <c r="J258">
        <v>3.7</v>
      </c>
      <c r="K258" t="s">
        <v>19</v>
      </c>
      <c r="L258">
        <v>56000</v>
      </c>
      <c r="M258" t="s">
        <v>29</v>
      </c>
      <c r="N258" t="s">
        <v>21</v>
      </c>
      <c r="O258">
        <v>0</v>
      </c>
    </row>
    <row r="259" spans="1:15" x14ac:dyDescent="0.3">
      <c r="A259" t="s">
        <v>303</v>
      </c>
      <c r="B259">
        <v>37</v>
      </c>
      <c r="C259" t="s">
        <v>44</v>
      </c>
      <c r="D259" t="s">
        <v>16</v>
      </c>
      <c r="E259" t="s">
        <v>25</v>
      </c>
      <c r="F259" t="s">
        <v>26</v>
      </c>
      <c r="G259">
        <v>9</v>
      </c>
      <c r="H259">
        <v>8</v>
      </c>
      <c r="I259" t="s">
        <v>27</v>
      </c>
      <c r="J259">
        <v>3.8</v>
      </c>
      <c r="K259" t="s">
        <v>19</v>
      </c>
      <c r="L259">
        <v>57000</v>
      </c>
      <c r="M259" t="s">
        <v>29</v>
      </c>
      <c r="N259" t="s">
        <v>21</v>
      </c>
      <c r="O259">
        <v>0</v>
      </c>
    </row>
    <row r="260" spans="1:15" x14ac:dyDescent="0.3">
      <c r="A260" t="s">
        <v>304</v>
      </c>
      <c r="B260">
        <v>29</v>
      </c>
      <c r="C260" t="s">
        <v>15</v>
      </c>
      <c r="D260" t="s">
        <v>24</v>
      </c>
      <c r="E260" t="s">
        <v>31</v>
      </c>
      <c r="F260" t="s">
        <v>32</v>
      </c>
      <c r="G260">
        <v>4</v>
      </c>
      <c r="H260">
        <v>7</v>
      </c>
      <c r="I260" t="s">
        <v>19</v>
      </c>
      <c r="J260">
        <v>3.9</v>
      </c>
      <c r="K260" t="s">
        <v>19</v>
      </c>
      <c r="L260">
        <v>58000</v>
      </c>
      <c r="M260" t="s">
        <v>29</v>
      </c>
      <c r="N260" t="s">
        <v>21</v>
      </c>
      <c r="O260">
        <v>0</v>
      </c>
    </row>
    <row r="261" spans="1:15" x14ac:dyDescent="0.3">
      <c r="A261" t="s">
        <v>305</v>
      </c>
      <c r="B261">
        <v>30</v>
      </c>
      <c r="C261" t="s">
        <v>15</v>
      </c>
      <c r="D261" t="s">
        <v>16</v>
      </c>
      <c r="E261" t="s">
        <v>17</v>
      </c>
      <c r="F261" t="s">
        <v>18</v>
      </c>
      <c r="G261">
        <v>5</v>
      </c>
      <c r="H261">
        <v>6</v>
      </c>
      <c r="I261" t="s">
        <v>33</v>
      </c>
      <c r="J261">
        <v>4</v>
      </c>
      <c r="K261" t="s">
        <v>19</v>
      </c>
      <c r="L261">
        <v>59000</v>
      </c>
      <c r="M261" t="s">
        <v>29</v>
      </c>
      <c r="N261" t="s">
        <v>21</v>
      </c>
      <c r="O261">
        <v>0</v>
      </c>
    </row>
    <row r="262" spans="1:15" x14ac:dyDescent="0.3">
      <c r="A262" t="s">
        <v>306</v>
      </c>
      <c r="B262">
        <v>42</v>
      </c>
      <c r="C262" t="s">
        <v>35</v>
      </c>
      <c r="D262" t="s">
        <v>16</v>
      </c>
      <c r="E262" t="s">
        <v>31</v>
      </c>
      <c r="F262" t="s">
        <v>26</v>
      </c>
      <c r="G262">
        <v>12</v>
      </c>
      <c r="H262">
        <v>9</v>
      </c>
      <c r="I262" t="s">
        <v>38</v>
      </c>
      <c r="J262">
        <v>4.0999999999999996</v>
      </c>
      <c r="K262" t="s">
        <v>28</v>
      </c>
      <c r="L262">
        <v>60000</v>
      </c>
      <c r="M262" t="s">
        <v>29</v>
      </c>
      <c r="N262" t="s">
        <v>21</v>
      </c>
      <c r="O262">
        <v>0</v>
      </c>
    </row>
    <row r="263" spans="1:15" x14ac:dyDescent="0.3">
      <c r="A263" t="s">
        <v>307</v>
      </c>
      <c r="B263">
        <v>35</v>
      </c>
      <c r="C263" t="s">
        <v>23</v>
      </c>
      <c r="D263" t="s">
        <v>24</v>
      </c>
      <c r="E263" t="s">
        <v>45</v>
      </c>
      <c r="F263" t="s">
        <v>46</v>
      </c>
      <c r="G263">
        <v>8</v>
      </c>
      <c r="H263">
        <v>8</v>
      </c>
      <c r="I263" t="s">
        <v>27</v>
      </c>
      <c r="J263">
        <v>4.2</v>
      </c>
      <c r="K263" t="s">
        <v>28</v>
      </c>
      <c r="L263">
        <v>61000</v>
      </c>
      <c r="M263" t="s">
        <v>19</v>
      </c>
      <c r="N263" t="s">
        <v>21</v>
      </c>
      <c r="O263">
        <v>0</v>
      </c>
    </row>
    <row r="264" spans="1:15" x14ac:dyDescent="0.3">
      <c r="A264" t="s">
        <v>308</v>
      </c>
      <c r="B264">
        <v>37</v>
      </c>
      <c r="C264" t="s">
        <v>44</v>
      </c>
      <c r="D264" t="s">
        <v>16</v>
      </c>
      <c r="E264" t="s">
        <v>36</v>
      </c>
      <c r="F264" t="s">
        <v>37</v>
      </c>
      <c r="G264">
        <v>8</v>
      </c>
      <c r="H264">
        <v>8</v>
      </c>
      <c r="I264" t="s">
        <v>27</v>
      </c>
      <c r="J264">
        <v>4.3</v>
      </c>
      <c r="K264" t="s">
        <v>28</v>
      </c>
      <c r="L264">
        <v>62000</v>
      </c>
      <c r="M264" t="s">
        <v>19</v>
      </c>
      <c r="N264" t="s">
        <v>21</v>
      </c>
      <c r="O264">
        <v>0</v>
      </c>
    </row>
    <row r="265" spans="1:15" x14ac:dyDescent="0.3">
      <c r="A265" t="s">
        <v>309</v>
      </c>
      <c r="B265">
        <v>32</v>
      </c>
      <c r="C265" t="s">
        <v>23</v>
      </c>
      <c r="D265" t="s">
        <v>24</v>
      </c>
      <c r="E265" t="s">
        <v>17</v>
      </c>
      <c r="F265" t="s">
        <v>18</v>
      </c>
      <c r="G265">
        <v>6</v>
      </c>
      <c r="H265">
        <v>7</v>
      </c>
      <c r="I265" t="s">
        <v>19</v>
      </c>
      <c r="J265">
        <v>4.4000000000000004</v>
      </c>
      <c r="K265" t="s">
        <v>28</v>
      </c>
      <c r="L265">
        <v>63000</v>
      </c>
      <c r="M265" t="s">
        <v>19</v>
      </c>
      <c r="N265" t="s">
        <v>21</v>
      </c>
      <c r="O265">
        <v>0</v>
      </c>
    </row>
    <row r="266" spans="1:15" x14ac:dyDescent="0.3">
      <c r="A266" t="s">
        <v>310</v>
      </c>
      <c r="B266">
        <v>33</v>
      </c>
      <c r="C266" t="s">
        <v>23</v>
      </c>
      <c r="D266" t="s">
        <v>16</v>
      </c>
      <c r="E266" t="s">
        <v>41</v>
      </c>
      <c r="F266" t="s">
        <v>42</v>
      </c>
      <c r="G266">
        <v>6</v>
      </c>
      <c r="H266">
        <v>7</v>
      </c>
      <c r="I266" t="s">
        <v>19</v>
      </c>
      <c r="J266">
        <v>4.5</v>
      </c>
      <c r="K266" t="s">
        <v>28</v>
      </c>
      <c r="L266">
        <v>64000</v>
      </c>
      <c r="M266" t="s">
        <v>19</v>
      </c>
      <c r="N266" t="s">
        <v>21</v>
      </c>
      <c r="O266">
        <v>0</v>
      </c>
    </row>
    <row r="267" spans="1:15" x14ac:dyDescent="0.3">
      <c r="A267" t="s">
        <v>311</v>
      </c>
      <c r="B267">
        <v>44</v>
      </c>
      <c r="C267" t="s">
        <v>35</v>
      </c>
      <c r="D267" t="s">
        <v>16</v>
      </c>
      <c r="E267" t="s">
        <v>25</v>
      </c>
      <c r="F267" t="s">
        <v>26</v>
      </c>
      <c r="G267">
        <v>10</v>
      </c>
      <c r="H267">
        <v>8</v>
      </c>
      <c r="I267" t="s">
        <v>27</v>
      </c>
      <c r="J267">
        <v>4.5999999999999996</v>
      </c>
      <c r="K267" t="s">
        <v>50</v>
      </c>
      <c r="L267">
        <v>65000</v>
      </c>
      <c r="M267" t="s">
        <v>19</v>
      </c>
      <c r="N267" t="s">
        <v>21</v>
      </c>
      <c r="O267">
        <v>0</v>
      </c>
    </row>
    <row r="268" spans="1:15" x14ac:dyDescent="0.3">
      <c r="A268" t="s">
        <v>312</v>
      </c>
      <c r="B268">
        <v>28</v>
      </c>
      <c r="C268" t="s">
        <v>15</v>
      </c>
      <c r="D268" t="s">
        <v>24</v>
      </c>
      <c r="E268" t="s">
        <v>31</v>
      </c>
      <c r="F268" t="s">
        <v>32</v>
      </c>
      <c r="G268">
        <v>3</v>
      </c>
      <c r="H268">
        <v>6</v>
      </c>
      <c r="I268" t="s">
        <v>33</v>
      </c>
      <c r="J268">
        <v>4.7</v>
      </c>
      <c r="K268" t="s">
        <v>50</v>
      </c>
      <c r="L268">
        <v>66000</v>
      </c>
      <c r="M268" t="s">
        <v>19</v>
      </c>
      <c r="N268" t="s">
        <v>21</v>
      </c>
      <c r="O268">
        <v>0</v>
      </c>
    </row>
    <row r="269" spans="1:15" x14ac:dyDescent="0.3">
      <c r="A269" t="s">
        <v>313</v>
      </c>
      <c r="B269">
        <v>38</v>
      </c>
      <c r="C269" t="s">
        <v>44</v>
      </c>
      <c r="D269" t="s">
        <v>16</v>
      </c>
      <c r="E269" t="s">
        <v>17</v>
      </c>
      <c r="F269" t="s">
        <v>18</v>
      </c>
      <c r="G269">
        <v>8</v>
      </c>
      <c r="H269">
        <v>8</v>
      </c>
      <c r="I269" t="s">
        <v>27</v>
      </c>
      <c r="J269">
        <v>3</v>
      </c>
      <c r="K269" t="s">
        <v>66</v>
      </c>
      <c r="L269">
        <v>49000</v>
      </c>
      <c r="M269" t="s">
        <v>20</v>
      </c>
      <c r="N269" t="s">
        <v>21</v>
      </c>
      <c r="O269">
        <v>0</v>
      </c>
    </row>
    <row r="270" spans="1:15" x14ac:dyDescent="0.3">
      <c r="A270" t="s">
        <v>314</v>
      </c>
      <c r="B270">
        <v>31</v>
      </c>
      <c r="C270" t="s">
        <v>23</v>
      </c>
      <c r="D270" t="s">
        <v>16</v>
      </c>
      <c r="E270" t="s">
        <v>41</v>
      </c>
      <c r="F270" t="s">
        <v>42</v>
      </c>
      <c r="G270">
        <v>7</v>
      </c>
      <c r="H270">
        <v>7</v>
      </c>
      <c r="I270" t="s">
        <v>19</v>
      </c>
      <c r="J270">
        <v>3.1</v>
      </c>
      <c r="K270" t="s">
        <v>48</v>
      </c>
      <c r="L270">
        <v>50000</v>
      </c>
      <c r="M270" t="s">
        <v>20</v>
      </c>
      <c r="N270" t="s">
        <v>21</v>
      </c>
      <c r="O270">
        <v>0</v>
      </c>
    </row>
    <row r="271" spans="1:15" x14ac:dyDescent="0.3">
      <c r="A271" t="s">
        <v>315</v>
      </c>
      <c r="B271">
        <v>35</v>
      </c>
      <c r="C271" t="s">
        <v>23</v>
      </c>
      <c r="D271" t="s">
        <v>24</v>
      </c>
      <c r="E271" t="s">
        <v>25</v>
      </c>
      <c r="F271" t="s">
        <v>26</v>
      </c>
      <c r="G271">
        <v>6</v>
      </c>
      <c r="H271">
        <v>7</v>
      </c>
      <c r="I271" t="s">
        <v>19</v>
      </c>
      <c r="J271">
        <v>3.2</v>
      </c>
      <c r="K271" t="s">
        <v>48</v>
      </c>
      <c r="L271">
        <v>51000</v>
      </c>
      <c r="M271" t="s">
        <v>29</v>
      </c>
      <c r="N271" t="s">
        <v>21</v>
      </c>
      <c r="O271">
        <v>0</v>
      </c>
    </row>
    <row r="272" spans="1:15" x14ac:dyDescent="0.3">
      <c r="A272" t="s">
        <v>316</v>
      </c>
      <c r="B272">
        <v>29</v>
      </c>
      <c r="C272" t="s">
        <v>15</v>
      </c>
      <c r="D272" t="s">
        <v>16</v>
      </c>
      <c r="E272" t="s">
        <v>45</v>
      </c>
      <c r="F272" t="s">
        <v>46</v>
      </c>
      <c r="G272">
        <v>4</v>
      </c>
      <c r="H272">
        <v>6</v>
      </c>
      <c r="I272" t="s">
        <v>33</v>
      </c>
      <c r="J272">
        <v>3.3</v>
      </c>
      <c r="K272" t="s">
        <v>48</v>
      </c>
      <c r="L272">
        <v>52000</v>
      </c>
      <c r="M272" t="s">
        <v>29</v>
      </c>
      <c r="N272" t="s">
        <v>21</v>
      </c>
      <c r="O272">
        <v>0</v>
      </c>
    </row>
    <row r="273" spans="1:15" x14ac:dyDescent="0.3">
      <c r="A273" t="s">
        <v>317</v>
      </c>
      <c r="B273">
        <v>30</v>
      </c>
      <c r="C273" t="s">
        <v>15</v>
      </c>
      <c r="D273" t="s">
        <v>24</v>
      </c>
      <c r="E273" t="s">
        <v>17</v>
      </c>
      <c r="F273" t="s">
        <v>18</v>
      </c>
      <c r="G273">
        <v>5</v>
      </c>
      <c r="H273">
        <v>6</v>
      </c>
      <c r="I273" t="s">
        <v>33</v>
      </c>
      <c r="J273">
        <v>3.4</v>
      </c>
      <c r="K273" t="s">
        <v>48</v>
      </c>
      <c r="L273">
        <v>53000</v>
      </c>
      <c r="M273" t="s">
        <v>29</v>
      </c>
      <c r="N273" t="s">
        <v>21</v>
      </c>
      <c r="O273">
        <v>0</v>
      </c>
    </row>
    <row r="274" spans="1:15" x14ac:dyDescent="0.3">
      <c r="A274" t="s">
        <v>318</v>
      </c>
      <c r="B274">
        <v>36</v>
      </c>
      <c r="C274" t="s">
        <v>44</v>
      </c>
      <c r="D274" t="s">
        <v>16</v>
      </c>
      <c r="E274" t="s">
        <v>31</v>
      </c>
      <c r="F274" t="s">
        <v>32</v>
      </c>
      <c r="G274">
        <v>6</v>
      </c>
      <c r="H274">
        <v>7</v>
      </c>
      <c r="I274" t="s">
        <v>19</v>
      </c>
      <c r="J274">
        <v>3.5</v>
      </c>
      <c r="K274" t="s">
        <v>48</v>
      </c>
      <c r="L274">
        <v>54000</v>
      </c>
      <c r="M274" t="s">
        <v>29</v>
      </c>
      <c r="N274" t="s">
        <v>21</v>
      </c>
      <c r="O274">
        <v>0</v>
      </c>
    </row>
    <row r="275" spans="1:15" x14ac:dyDescent="0.3">
      <c r="A275" t="s">
        <v>319</v>
      </c>
      <c r="B275">
        <v>31</v>
      </c>
      <c r="C275" t="s">
        <v>23</v>
      </c>
      <c r="D275" t="s">
        <v>16</v>
      </c>
      <c r="E275" t="s">
        <v>36</v>
      </c>
      <c r="F275" t="s">
        <v>37</v>
      </c>
      <c r="G275">
        <v>7</v>
      </c>
      <c r="H275">
        <v>7</v>
      </c>
      <c r="I275" t="s">
        <v>19</v>
      </c>
      <c r="J275">
        <v>3.6</v>
      </c>
      <c r="K275" t="s">
        <v>19</v>
      </c>
      <c r="L275">
        <v>55000</v>
      </c>
      <c r="M275" t="s">
        <v>29</v>
      </c>
      <c r="N275" t="s">
        <v>21</v>
      </c>
      <c r="O275">
        <v>0</v>
      </c>
    </row>
    <row r="276" spans="1:15" x14ac:dyDescent="0.3">
      <c r="A276" t="s">
        <v>320</v>
      </c>
      <c r="B276">
        <v>34</v>
      </c>
      <c r="C276" t="s">
        <v>23</v>
      </c>
      <c r="D276" t="s">
        <v>16</v>
      </c>
      <c r="E276" t="s">
        <v>17</v>
      </c>
      <c r="F276" t="s">
        <v>18</v>
      </c>
      <c r="G276">
        <v>8</v>
      </c>
      <c r="H276">
        <v>8</v>
      </c>
      <c r="I276" t="s">
        <v>27</v>
      </c>
      <c r="J276">
        <v>3.7</v>
      </c>
      <c r="K276" t="s">
        <v>19</v>
      </c>
      <c r="L276">
        <v>56000</v>
      </c>
      <c r="M276" t="s">
        <v>29</v>
      </c>
      <c r="N276" t="s">
        <v>21</v>
      </c>
      <c r="O276">
        <v>0</v>
      </c>
    </row>
    <row r="277" spans="1:15" x14ac:dyDescent="0.3">
      <c r="A277" t="s">
        <v>321</v>
      </c>
      <c r="B277">
        <v>45</v>
      </c>
      <c r="C277" t="s">
        <v>35</v>
      </c>
      <c r="D277" t="s">
        <v>16</v>
      </c>
      <c r="E277" t="s">
        <v>41</v>
      </c>
      <c r="F277" t="s">
        <v>42</v>
      </c>
      <c r="G277">
        <v>15</v>
      </c>
      <c r="H277">
        <v>9</v>
      </c>
      <c r="I277" t="s">
        <v>38</v>
      </c>
      <c r="J277">
        <v>3.8</v>
      </c>
      <c r="K277" t="s">
        <v>19</v>
      </c>
      <c r="L277">
        <v>57000</v>
      </c>
      <c r="M277" t="s">
        <v>29</v>
      </c>
      <c r="N277" t="s">
        <v>21</v>
      </c>
      <c r="O277">
        <v>0</v>
      </c>
    </row>
    <row r="278" spans="1:15" x14ac:dyDescent="0.3">
      <c r="A278" t="s">
        <v>322</v>
      </c>
      <c r="B278">
        <v>37</v>
      </c>
      <c r="C278" t="s">
        <v>44</v>
      </c>
      <c r="D278" t="s">
        <v>24</v>
      </c>
      <c r="E278" t="s">
        <v>31</v>
      </c>
      <c r="F278" t="s">
        <v>26</v>
      </c>
      <c r="G278">
        <v>9</v>
      </c>
      <c r="H278">
        <v>8</v>
      </c>
      <c r="I278" t="s">
        <v>27</v>
      </c>
      <c r="J278">
        <v>3.9</v>
      </c>
      <c r="K278" t="s">
        <v>19</v>
      </c>
      <c r="L278">
        <v>58000</v>
      </c>
      <c r="M278" t="s">
        <v>29</v>
      </c>
      <c r="N278" t="s">
        <v>21</v>
      </c>
      <c r="O278">
        <v>0</v>
      </c>
    </row>
    <row r="279" spans="1:15" x14ac:dyDescent="0.3">
      <c r="A279" t="s">
        <v>323</v>
      </c>
      <c r="B279">
        <v>30</v>
      </c>
      <c r="C279" t="s">
        <v>15</v>
      </c>
      <c r="D279" t="s">
        <v>16</v>
      </c>
      <c r="E279" t="s">
        <v>17</v>
      </c>
      <c r="F279" t="s">
        <v>18</v>
      </c>
      <c r="G279">
        <v>5</v>
      </c>
      <c r="H279">
        <v>6</v>
      </c>
      <c r="I279" t="s">
        <v>33</v>
      </c>
      <c r="J279">
        <v>4</v>
      </c>
      <c r="K279" t="s">
        <v>19</v>
      </c>
      <c r="L279">
        <v>59000</v>
      </c>
      <c r="M279" t="s">
        <v>29</v>
      </c>
      <c r="N279" t="s">
        <v>21</v>
      </c>
      <c r="O279">
        <v>0</v>
      </c>
    </row>
    <row r="280" spans="1:15" x14ac:dyDescent="0.3">
      <c r="A280" t="s">
        <v>324</v>
      </c>
      <c r="B280">
        <v>31</v>
      </c>
      <c r="C280" t="s">
        <v>23</v>
      </c>
      <c r="D280" t="s">
        <v>24</v>
      </c>
      <c r="E280" t="s">
        <v>45</v>
      </c>
      <c r="F280" t="s">
        <v>46</v>
      </c>
      <c r="G280">
        <v>6</v>
      </c>
      <c r="H280">
        <v>7</v>
      </c>
      <c r="I280" t="s">
        <v>19</v>
      </c>
      <c r="J280">
        <v>4.0999999999999996</v>
      </c>
      <c r="K280" t="s">
        <v>28</v>
      </c>
      <c r="L280">
        <v>60000</v>
      </c>
      <c r="M280" t="s">
        <v>29</v>
      </c>
      <c r="N280" t="s">
        <v>21</v>
      </c>
      <c r="O280">
        <v>0</v>
      </c>
    </row>
    <row r="281" spans="1:15" x14ac:dyDescent="0.3">
      <c r="A281" t="s">
        <v>325</v>
      </c>
      <c r="B281">
        <v>38</v>
      </c>
      <c r="C281" t="s">
        <v>44</v>
      </c>
      <c r="D281" t="s">
        <v>16</v>
      </c>
      <c r="E281" t="s">
        <v>41</v>
      </c>
      <c r="F281" t="s">
        <v>42</v>
      </c>
      <c r="G281">
        <v>9</v>
      </c>
      <c r="H281">
        <v>8</v>
      </c>
      <c r="I281" t="s">
        <v>27</v>
      </c>
      <c r="J281">
        <v>4.2</v>
      </c>
      <c r="K281" t="s">
        <v>28</v>
      </c>
      <c r="L281">
        <v>61000</v>
      </c>
      <c r="M281" t="s">
        <v>19</v>
      </c>
      <c r="N281" t="s">
        <v>21</v>
      </c>
      <c r="O281">
        <v>0</v>
      </c>
    </row>
    <row r="282" spans="1:15" x14ac:dyDescent="0.3">
      <c r="A282" t="s">
        <v>326</v>
      </c>
      <c r="B282">
        <v>34</v>
      </c>
      <c r="C282" t="s">
        <v>23</v>
      </c>
      <c r="D282" t="s">
        <v>16</v>
      </c>
      <c r="E282" t="s">
        <v>31</v>
      </c>
      <c r="F282" t="s">
        <v>26</v>
      </c>
      <c r="G282">
        <v>8</v>
      </c>
      <c r="H282">
        <v>8</v>
      </c>
      <c r="I282" t="s">
        <v>27</v>
      </c>
      <c r="J282">
        <v>4.3</v>
      </c>
      <c r="K282" t="s">
        <v>28</v>
      </c>
      <c r="L282">
        <v>62000</v>
      </c>
      <c r="M282" t="s">
        <v>19</v>
      </c>
      <c r="N282" t="s">
        <v>21</v>
      </c>
      <c r="O282">
        <v>0</v>
      </c>
    </row>
    <row r="283" spans="1:15" x14ac:dyDescent="0.3">
      <c r="A283" t="s">
        <v>327</v>
      </c>
      <c r="B283">
        <v>37</v>
      </c>
      <c r="C283" t="s">
        <v>44</v>
      </c>
      <c r="D283" t="s">
        <v>24</v>
      </c>
      <c r="E283" t="s">
        <v>17</v>
      </c>
      <c r="F283" t="s">
        <v>18</v>
      </c>
      <c r="G283">
        <v>9</v>
      </c>
      <c r="H283">
        <v>8</v>
      </c>
      <c r="I283" t="s">
        <v>27</v>
      </c>
      <c r="J283">
        <v>4.4000000000000004</v>
      </c>
      <c r="K283" t="s">
        <v>28</v>
      </c>
      <c r="L283">
        <v>63000</v>
      </c>
      <c r="M283" t="s">
        <v>19</v>
      </c>
      <c r="N283" t="s">
        <v>21</v>
      </c>
      <c r="O283">
        <v>0</v>
      </c>
    </row>
    <row r="284" spans="1:15" x14ac:dyDescent="0.3">
      <c r="A284" t="s">
        <v>328</v>
      </c>
      <c r="B284">
        <v>33</v>
      </c>
      <c r="C284" t="s">
        <v>23</v>
      </c>
      <c r="D284" t="s">
        <v>16</v>
      </c>
      <c r="E284" t="s">
        <v>25</v>
      </c>
      <c r="F284" t="s">
        <v>26</v>
      </c>
      <c r="G284">
        <v>7</v>
      </c>
      <c r="H284">
        <v>7</v>
      </c>
      <c r="I284" t="s">
        <v>19</v>
      </c>
      <c r="J284">
        <v>4.5</v>
      </c>
      <c r="K284" t="s">
        <v>28</v>
      </c>
      <c r="L284">
        <v>64000</v>
      </c>
      <c r="M284" t="s">
        <v>19</v>
      </c>
      <c r="N284" t="s">
        <v>21</v>
      </c>
      <c r="O284">
        <v>0</v>
      </c>
    </row>
    <row r="285" spans="1:15" x14ac:dyDescent="0.3">
      <c r="A285" t="s">
        <v>329</v>
      </c>
      <c r="B285">
        <v>34</v>
      </c>
      <c r="C285" t="s">
        <v>23</v>
      </c>
      <c r="D285" t="s">
        <v>16</v>
      </c>
      <c r="E285" t="s">
        <v>36</v>
      </c>
      <c r="F285" t="s">
        <v>37</v>
      </c>
      <c r="G285">
        <v>6</v>
      </c>
      <c r="H285">
        <v>7</v>
      </c>
      <c r="I285" t="s">
        <v>19</v>
      </c>
      <c r="J285">
        <v>4.5999999999999996</v>
      </c>
      <c r="K285" t="s">
        <v>50</v>
      </c>
      <c r="L285">
        <v>65000</v>
      </c>
      <c r="M285" t="s">
        <v>19</v>
      </c>
      <c r="N285" t="s">
        <v>21</v>
      </c>
      <c r="O285">
        <v>0</v>
      </c>
    </row>
    <row r="286" spans="1:15" x14ac:dyDescent="0.3">
      <c r="A286" t="s">
        <v>330</v>
      </c>
      <c r="B286">
        <v>27</v>
      </c>
      <c r="C286" t="s">
        <v>15</v>
      </c>
      <c r="D286" t="s">
        <v>24</v>
      </c>
      <c r="E286" t="s">
        <v>31</v>
      </c>
      <c r="F286" t="s">
        <v>32</v>
      </c>
      <c r="G286">
        <v>3</v>
      </c>
      <c r="H286">
        <v>6</v>
      </c>
      <c r="I286" t="s">
        <v>33</v>
      </c>
      <c r="J286">
        <v>3</v>
      </c>
      <c r="K286" t="s">
        <v>66</v>
      </c>
      <c r="L286">
        <v>49000</v>
      </c>
      <c r="M286" t="s">
        <v>20</v>
      </c>
      <c r="N286" t="s">
        <v>21</v>
      </c>
      <c r="O286">
        <v>0</v>
      </c>
    </row>
    <row r="287" spans="1:15" x14ac:dyDescent="0.3">
      <c r="A287" t="s">
        <v>331</v>
      </c>
      <c r="B287">
        <v>29</v>
      </c>
      <c r="C287" t="s">
        <v>15</v>
      </c>
      <c r="D287" t="s">
        <v>16</v>
      </c>
      <c r="E287" t="s">
        <v>17</v>
      </c>
      <c r="F287" t="s">
        <v>18</v>
      </c>
      <c r="G287">
        <v>4</v>
      </c>
      <c r="H287">
        <v>6</v>
      </c>
      <c r="I287" t="s">
        <v>33</v>
      </c>
      <c r="J287">
        <v>3.1</v>
      </c>
      <c r="K287" t="s">
        <v>48</v>
      </c>
      <c r="L287">
        <v>50000</v>
      </c>
      <c r="M287" t="s">
        <v>20</v>
      </c>
      <c r="N287" t="s">
        <v>21</v>
      </c>
      <c r="O287">
        <v>0</v>
      </c>
    </row>
    <row r="288" spans="1:15" x14ac:dyDescent="0.3">
      <c r="A288" t="s">
        <v>332</v>
      </c>
      <c r="B288">
        <v>36</v>
      </c>
      <c r="C288" t="s">
        <v>44</v>
      </c>
      <c r="D288" t="s">
        <v>16</v>
      </c>
      <c r="E288" t="s">
        <v>41</v>
      </c>
      <c r="F288" t="s">
        <v>42</v>
      </c>
      <c r="G288">
        <v>7</v>
      </c>
      <c r="H288">
        <v>7</v>
      </c>
      <c r="I288" t="s">
        <v>19</v>
      </c>
      <c r="J288">
        <v>3.2</v>
      </c>
      <c r="K288" t="s">
        <v>48</v>
      </c>
      <c r="L288">
        <v>51000</v>
      </c>
      <c r="M288" t="s">
        <v>29</v>
      </c>
      <c r="N288" t="s">
        <v>21</v>
      </c>
      <c r="O288">
        <v>0</v>
      </c>
    </row>
    <row r="289" spans="1:15" x14ac:dyDescent="0.3">
      <c r="A289" t="s">
        <v>333</v>
      </c>
      <c r="B289">
        <v>31</v>
      </c>
      <c r="C289" t="s">
        <v>23</v>
      </c>
      <c r="D289" t="s">
        <v>24</v>
      </c>
      <c r="E289" t="s">
        <v>25</v>
      </c>
      <c r="F289" t="s">
        <v>26</v>
      </c>
      <c r="G289">
        <v>6</v>
      </c>
      <c r="H289">
        <v>7</v>
      </c>
      <c r="I289" t="s">
        <v>19</v>
      </c>
      <c r="J289">
        <v>3.3</v>
      </c>
      <c r="K289" t="s">
        <v>48</v>
      </c>
      <c r="L289">
        <v>52000</v>
      </c>
      <c r="M289" t="s">
        <v>29</v>
      </c>
      <c r="N289" t="s">
        <v>21</v>
      </c>
      <c r="O289">
        <v>0</v>
      </c>
    </row>
    <row r="290" spans="1:15" x14ac:dyDescent="0.3">
      <c r="A290" t="s">
        <v>334</v>
      </c>
      <c r="B290">
        <v>32</v>
      </c>
      <c r="C290" t="s">
        <v>23</v>
      </c>
      <c r="D290" t="s">
        <v>16</v>
      </c>
      <c r="E290" t="s">
        <v>45</v>
      </c>
      <c r="F290" t="s">
        <v>46</v>
      </c>
      <c r="G290">
        <v>7</v>
      </c>
      <c r="H290">
        <v>7</v>
      </c>
      <c r="I290" t="s">
        <v>19</v>
      </c>
      <c r="J290">
        <v>3.4</v>
      </c>
      <c r="K290" t="s">
        <v>48</v>
      </c>
      <c r="L290">
        <v>53000</v>
      </c>
      <c r="M290" t="s">
        <v>29</v>
      </c>
      <c r="N290" t="s">
        <v>21</v>
      </c>
      <c r="O290">
        <v>0</v>
      </c>
    </row>
    <row r="291" spans="1:15" x14ac:dyDescent="0.3">
      <c r="A291" t="s">
        <v>335</v>
      </c>
      <c r="B291">
        <v>33</v>
      </c>
      <c r="C291" t="s">
        <v>23</v>
      </c>
      <c r="D291" t="s">
        <v>16</v>
      </c>
      <c r="E291" t="s">
        <v>31</v>
      </c>
      <c r="F291" t="s">
        <v>32</v>
      </c>
      <c r="G291">
        <v>8</v>
      </c>
      <c r="H291">
        <v>8</v>
      </c>
      <c r="I291" t="s">
        <v>27</v>
      </c>
      <c r="J291">
        <v>3.5</v>
      </c>
      <c r="K291" t="s">
        <v>48</v>
      </c>
      <c r="L291">
        <v>54000</v>
      </c>
      <c r="M291" t="s">
        <v>29</v>
      </c>
      <c r="N291" t="s">
        <v>21</v>
      </c>
      <c r="O291">
        <v>0</v>
      </c>
    </row>
    <row r="292" spans="1:15" x14ac:dyDescent="0.3">
      <c r="A292" t="s">
        <v>336</v>
      </c>
      <c r="B292">
        <v>38</v>
      </c>
      <c r="C292" t="s">
        <v>44</v>
      </c>
      <c r="D292" t="s">
        <v>24</v>
      </c>
      <c r="E292" t="s">
        <v>17</v>
      </c>
      <c r="F292" t="s">
        <v>18</v>
      </c>
      <c r="G292">
        <v>9</v>
      </c>
      <c r="H292">
        <v>8</v>
      </c>
      <c r="I292" t="s">
        <v>27</v>
      </c>
      <c r="J292">
        <v>3.6</v>
      </c>
      <c r="K292" t="s">
        <v>19</v>
      </c>
      <c r="L292">
        <v>55000</v>
      </c>
      <c r="M292" t="s">
        <v>29</v>
      </c>
      <c r="N292" t="s">
        <v>21</v>
      </c>
      <c r="O292">
        <v>0</v>
      </c>
    </row>
    <row r="293" spans="1:15" x14ac:dyDescent="0.3">
      <c r="A293" t="s">
        <v>337</v>
      </c>
      <c r="B293">
        <v>42</v>
      </c>
      <c r="C293" t="s">
        <v>35</v>
      </c>
      <c r="D293" t="s">
        <v>16</v>
      </c>
      <c r="E293" t="s">
        <v>41</v>
      </c>
      <c r="F293" t="s">
        <v>42</v>
      </c>
      <c r="G293">
        <v>13</v>
      </c>
      <c r="H293">
        <v>9</v>
      </c>
      <c r="I293" t="s">
        <v>38</v>
      </c>
      <c r="J293">
        <v>4</v>
      </c>
      <c r="K293" t="s">
        <v>19</v>
      </c>
      <c r="L293">
        <v>59000</v>
      </c>
      <c r="M293" t="s">
        <v>29</v>
      </c>
      <c r="N293" t="s">
        <v>21</v>
      </c>
      <c r="O293">
        <v>0</v>
      </c>
    </row>
    <row r="294" spans="1:15" x14ac:dyDescent="0.3">
      <c r="A294" t="s">
        <v>338</v>
      </c>
      <c r="B294">
        <v>31</v>
      </c>
      <c r="C294" t="s">
        <v>23</v>
      </c>
      <c r="D294" t="s">
        <v>16</v>
      </c>
      <c r="E294" t="s">
        <v>36</v>
      </c>
      <c r="F294" t="s">
        <v>37</v>
      </c>
      <c r="G294">
        <v>7</v>
      </c>
      <c r="H294">
        <v>7</v>
      </c>
      <c r="I294" t="s">
        <v>19</v>
      </c>
      <c r="J294">
        <v>3.7</v>
      </c>
      <c r="K294" t="s">
        <v>19</v>
      </c>
      <c r="L294">
        <v>57000</v>
      </c>
      <c r="M294" t="s">
        <v>29</v>
      </c>
      <c r="N294" t="s">
        <v>21</v>
      </c>
      <c r="O294">
        <v>0</v>
      </c>
    </row>
    <row r="295" spans="1:15" x14ac:dyDescent="0.3">
      <c r="A295" t="s">
        <v>339</v>
      </c>
      <c r="B295">
        <v>35</v>
      </c>
      <c r="C295" t="s">
        <v>23</v>
      </c>
      <c r="D295" t="s">
        <v>24</v>
      </c>
      <c r="E295" t="s">
        <v>17</v>
      </c>
      <c r="F295" t="s">
        <v>18</v>
      </c>
      <c r="G295">
        <v>8</v>
      </c>
      <c r="H295">
        <v>7</v>
      </c>
      <c r="I295" t="s">
        <v>19</v>
      </c>
      <c r="J295">
        <v>3.8</v>
      </c>
      <c r="K295" t="s">
        <v>19</v>
      </c>
      <c r="L295">
        <v>58000</v>
      </c>
      <c r="M295" t="s">
        <v>29</v>
      </c>
      <c r="N295" t="s">
        <v>21</v>
      </c>
      <c r="O295">
        <v>0</v>
      </c>
    </row>
    <row r="296" spans="1:15" x14ac:dyDescent="0.3">
      <c r="A296" t="s">
        <v>340</v>
      </c>
      <c r="B296">
        <v>33</v>
      </c>
      <c r="C296" t="s">
        <v>23</v>
      </c>
      <c r="D296" t="s">
        <v>16</v>
      </c>
      <c r="E296" t="s">
        <v>25</v>
      </c>
      <c r="F296" t="s">
        <v>26</v>
      </c>
      <c r="G296">
        <v>6</v>
      </c>
      <c r="H296">
        <v>7</v>
      </c>
      <c r="I296" t="s">
        <v>19</v>
      </c>
      <c r="J296">
        <v>3.9</v>
      </c>
      <c r="K296" t="s">
        <v>19</v>
      </c>
      <c r="L296">
        <v>59000</v>
      </c>
      <c r="M296" t="s">
        <v>29</v>
      </c>
      <c r="N296" t="s">
        <v>21</v>
      </c>
      <c r="O296">
        <v>0</v>
      </c>
    </row>
    <row r="297" spans="1:15" x14ac:dyDescent="0.3">
      <c r="A297" t="s">
        <v>341</v>
      </c>
      <c r="B297">
        <v>34</v>
      </c>
      <c r="C297" t="s">
        <v>23</v>
      </c>
      <c r="D297" t="s">
        <v>16</v>
      </c>
      <c r="E297" t="s">
        <v>45</v>
      </c>
      <c r="F297" t="s">
        <v>46</v>
      </c>
      <c r="G297">
        <v>7</v>
      </c>
      <c r="H297">
        <v>7</v>
      </c>
      <c r="I297" t="s">
        <v>19</v>
      </c>
      <c r="J297">
        <v>4</v>
      </c>
      <c r="K297" t="s">
        <v>19</v>
      </c>
      <c r="L297">
        <v>60000</v>
      </c>
      <c r="M297" t="s">
        <v>29</v>
      </c>
      <c r="N297" t="s">
        <v>21</v>
      </c>
      <c r="O297">
        <v>0</v>
      </c>
    </row>
    <row r="298" spans="1:15" x14ac:dyDescent="0.3">
      <c r="A298" t="s">
        <v>342</v>
      </c>
      <c r="B298">
        <v>30</v>
      </c>
      <c r="C298" t="s">
        <v>15</v>
      </c>
      <c r="D298" t="s">
        <v>24</v>
      </c>
      <c r="E298" t="s">
        <v>31</v>
      </c>
      <c r="F298" t="s">
        <v>32</v>
      </c>
      <c r="G298">
        <v>5</v>
      </c>
      <c r="H298">
        <v>6</v>
      </c>
      <c r="I298" t="s">
        <v>33</v>
      </c>
      <c r="J298">
        <v>4.0999999999999996</v>
      </c>
      <c r="K298" t="s">
        <v>28</v>
      </c>
      <c r="L298">
        <v>61000</v>
      </c>
      <c r="M298" t="s">
        <v>19</v>
      </c>
      <c r="N298" t="s">
        <v>21</v>
      </c>
      <c r="O298">
        <v>0</v>
      </c>
    </row>
    <row r="299" spans="1:15" x14ac:dyDescent="0.3">
      <c r="A299" t="s">
        <v>343</v>
      </c>
      <c r="B299">
        <v>45</v>
      </c>
      <c r="C299" t="s">
        <v>35</v>
      </c>
      <c r="D299" t="s">
        <v>16</v>
      </c>
      <c r="E299" t="s">
        <v>17</v>
      </c>
      <c r="F299" t="s">
        <v>18</v>
      </c>
      <c r="G299">
        <v>11</v>
      </c>
      <c r="H299">
        <v>9</v>
      </c>
      <c r="I299" t="s">
        <v>38</v>
      </c>
      <c r="J299">
        <v>4.2</v>
      </c>
      <c r="K299" t="s">
        <v>28</v>
      </c>
      <c r="L299">
        <v>62000</v>
      </c>
      <c r="M299" t="s">
        <v>19</v>
      </c>
      <c r="N299" t="s">
        <v>21</v>
      </c>
      <c r="O299">
        <v>0</v>
      </c>
    </row>
    <row r="300" spans="1:15" x14ac:dyDescent="0.3">
      <c r="A300" t="s">
        <v>344</v>
      </c>
      <c r="B300">
        <v>36</v>
      </c>
      <c r="C300" t="s">
        <v>44</v>
      </c>
      <c r="D300" t="s">
        <v>16</v>
      </c>
      <c r="E300" t="s">
        <v>41</v>
      </c>
      <c r="F300" t="s">
        <v>42</v>
      </c>
      <c r="G300">
        <v>10</v>
      </c>
      <c r="H300">
        <v>8</v>
      </c>
      <c r="I300" t="s">
        <v>27</v>
      </c>
      <c r="J300">
        <v>4.3</v>
      </c>
      <c r="K300" t="s">
        <v>28</v>
      </c>
      <c r="L300">
        <v>63000</v>
      </c>
      <c r="M300" t="s">
        <v>19</v>
      </c>
      <c r="N300" t="s">
        <v>21</v>
      </c>
      <c r="O300">
        <v>0</v>
      </c>
    </row>
    <row r="301" spans="1:15" x14ac:dyDescent="0.3">
      <c r="A301" t="s">
        <v>345</v>
      </c>
      <c r="B301">
        <v>37</v>
      </c>
      <c r="C301" t="s">
        <v>44</v>
      </c>
      <c r="D301" t="s">
        <v>24</v>
      </c>
      <c r="E301" t="s">
        <v>25</v>
      </c>
      <c r="F301" t="s">
        <v>26</v>
      </c>
      <c r="G301">
        <v>9</v>
      </c>
      <c r="H301">
        <v>8</v>
      </c>
      <c r="I301" t="s">
        <v>27</v>
      </c>
      <c r="J301">
        <v>4.4000000000000004</v>
      </c>
      <c r="K301" t="s">
        <v>28</v>
      </c>
      <c r="L301">
        <v>64000</v>
      </c>
      <c r="M301" t="s">
        <v>19</v>
      </c>
      <c r="N301" t="s">
        <v>21</v>
      </c>
      <c r="O301">
        <v>0</v>
      </c>
    </row>
    <row r="302" spans="1:15" x14ac:dyDescent="0.3">
      <c r="A302" t="s">
        <v>346</v>
      </c>
      <c r="B302">
        <v>35</v>
      </c>
      <c r="C302" t="s">
        <v>23</v>
      </c>
      <c r="D302" t="s">
        <v>24</v>
      </c>
      <c r="E302" t="s">
        <v>36</v>
      </c>
      <c r="F302" t="s">
        <v>37</v>
      </c>
      <c r="G302">
        <v>6</v>
      </c>
      <c r="H302">
        <v>7</v>
      </c>
      <c r="I302" t="s">
        <v>19</v>
      </c>
      <c r="J302">
        <v>3</v>
      </c>
      <c r="K302" t="s">
        <v>66</v>
      </c>
      <c r="L302">
        <v>49000</v>
      </c>
      <c r="M302" t="s">
        <v>20</v>
      </c>
      <c r="N302" t="s">
        <v>39</v>
      </c>
      <c r="O302">
        <v>1</v>
      </c>
    </row>
    <row r="303" spans="1:15" x14ac:dyDescent="0.3">
      <c r="A303" t="s">
        <v>347</v>
      </c>
      <c r="B303">
        <v>33</v>
      </c>
      <c r="C303" t="s">
        <v>23</v>
      </c>
      <c r="D303" t="s">
        <v>16</v>
      </c>
      <c r="E303" t="s">
        <v>17</v>
      </c>
      <c r="F303" t="s">
        <v>18</v>
      </c>
      <c r="G303">
        <v>5</v>
      </c>
      <c r="H303">
        <v>6</v>
      </c>
      <c r="I303" t="s">
        <v>33</v>
      </c>
      <c r="J303">
        <v>3.1</v>
      </c>
      <c r="K303" t="s">
        <v>48</v>
      </c>
      <c r="L303">
        <v>50000</v>
      </c>
      <c r="M303" t="s">
        <v>20</v>
      </c>
      <c r="N303" t="s">
        <v>21</v>
      </c>
      <c r="O303">
        <v>0</v>
      </c>
    </row>
    <row r="304" spans="1:15" x14ac:dyDescent="0.3">
      <c r="A304" t="s">
        <v>348</v>
      </c>
      <c r="B304">
        <v>32</v>
      </c>
      <c r="C304" t="s">
        <v>23</v>
      </c>
      <c r="D304" t="s">
        <v>16</v>
      </c>
      <c r="E304" t="s">
        <v>41</v>
      </c>
      <c r="F304" t="s">
        <v>42</v>
      </c>
      <c r="G304">
        <v>7</v>
      </c>
      <c r="H304">
        <v>7</v>
      </c>
      <c r="I304" t="s">
        <v>19</v>
      </c>
      <c r="J304">
        <v>3.2</v>
      </c>
      <c r="K304" t="s">
        <v>48</v>
      </c>
      <c r="L304">
        <v>51000</v>
      </c>
      <c r="M304" t="s">
        <v>29</v>
      </c>
      <c r="N304" t="s">
        <v>39</v>
      </c>
      <c r="O304">
        <v>1</v>
      </c>
    </row>
    <row r="305" spans="1:15" x14ac:dyDescent="0.3">
      <c r="A305" t="s">
        <v>349</v>
      </c>
      <c r="B305">
        <v>31</v>
      </c>
      <c r="C305" t="s">
        <v>23</v>
      </c>
      <c r="D305" t="s">
        <v>24</v>
      </c>
      <c r="E305" t="s">
        <v>25</v>
      </c>
      <c r="F305" t="s">
        <v>26</v>
      </c>
      <c r="G305">
        <v>6</v>
      </c>
      <c r="H305">
        <v>7</v>
      </c>
      <c r="I305" t="s">
        <v>19</v>
      </c>
      <c r="J305">
        <v>3.3</v>
      </c>
      <c r="K305" t="s">
        <v>48</v>
      </c>
      <c r="L305">
        <v>52000</v>
      </c>
      <c r="M305" t="s">
        <v>29</v>
      </c>
      <c r="N305" t="s">
        <v>39</v>
      </c>
      <c r="O305">
        <v>1</v>
      </c>
    </row>
    <row r="306" spans="1:15" x14ac:dyDescent="0.3">
      <c r="A306" t="s">
        <v>350</v>
      </c>
      <c r="B306">
        <v>29</v>
      </c>
      <c r="C306" t="s">
        <v>15</v>
      </c>
      <c r="D306" t="s">
        <v>16</v>
      </c>
      <c r="E306" t="s">
        <v>45</v>
      </c>
      <c r="F306" t="s">
        <v>46</v>
      </c>
      <c r="G306">
        <v>4</v>
      </c>
      <c r="H306">
        <v>6</v>
      </c>
      <c r="I306" t="s">
        <v>33</v>
      </c>
      <c r="J306">
        <v>3.4</v>
      </c>
      <c r="K306" t="s">
        <v>48</v>
      </c>
      <c r="L306">
        <v>53000</v>
      </c>
      <c r="M306" t="s">
        <v>29</v>
      </c>
      <c r="N306" t="s">
        <v>39</v>
      </c>
      <c r="O306">
        <v>1</v>
      </c>
    </row>
    <row r="307" spans="1:15" x14ac:dyDescent="0.3">
      <c r="A307" t="s">
        <v>351</v>
      </c>
      <c r="B307">
        <v>30</v>
      </c>
      <c r="C307" t="s">
        <v>15</v>
      </c>
      <c r="D307" t="s">
        <v>16</v>
      </c>
      <c r="E307" t="s">
        <v>31</v>
      </c>
      <c r="F307" t="s">
        <v>32</v>
      </c>
      <c r="G307">
        <v>5</v>
      </c>
      <c r="H307">
        <v>6</v>
      </c>
      <c r="I307" t="s">
        <v>33</v>
      </c>
      <c r="J307">
        <v>3.5</v>
      </c>
      <c r="K307" t="s">
        <v>48</v>
      </c>
      <c r="L307">
        <v>54000</v>
      </c>
      <c r="M307" t="s">
        <v>29</v>
      </c>
      <c r="N307" t="s">
        <v>21</v>
      </c>
      <c r="O307">
        <v>0</v>
      </c>
    </row>
    <row r="308" spans="1:15" x14ac:dyDescent="0.3">
      <c r="A308" t="s">
        <v>352</v>
      </c>
      <c r="B308">
        <v>32</v>
      </c>
      <c r="C308" t="s">
        <v>23</v>
      </c>
      <c r="D308" t="s">
        <v>24</v>
      </c>
      <c r="E308" t="s">
        <v>17</v>
      </c>
      <c r="F308" t="s">
        <v>18</v>
      </c>
      <c r="G308">
        <v>6</v>
      </c>
      <c r="H308">
        <v>7</v>
      </c>
      <c r="I308" t="s">
        <v>19</v>
      </c>
      <c r="J308">
        <v>3.6</v>
      </c>
      <c r="K308" t="s">
        <v>19</v>
      </c>
      <c r="L308">
        <v>55000</v>
      </c>
      <c r="M308" t="s">
        <v>29</v>
      </c>
      <c r="N308" t="s">
        <v>39</v>
      </c>
      <c r="O308">
        <v>1</v>
      </c>
    </row>
    <row r="309" spans="1:15" x14ac:dyDescent="0.3">
      <c r="A309" t="s">
        <v>353</v>
      </c>
      <c r="B309">
        <v>33</v>
      </c>
      <c r="C309" t="s">
        <v>23</v>
      </c>
      <c r="D309" t="s">
        <v>16</v>
      </c>
      <c r="E309" t="s">
        <v>31</v>
      </c>
      <c r="F309" t="s">
        <v>32</v>
      </c>
      <c r="G309">
        <v>7</v>
      </c>
      <c r="H309">
        <v>7</v>
      </c>
      <c r="I309" t="s">
        <v>19</v>
      </c>
      <c r="J309">
        <v>3.7</v>
      </c>
      <c r="K309" t="s">
        <v>19</v>
      </c>
      <c r="L309">
        <v>56000</v>
      </c>
      <c r="M309" t="s">
        <v>29</v>
      </c>
      <c r="N309" t="s">
        <v>21</v>
      </c>
      <c r="O309">
        <v>0</v>
      </c>
    </row>
    <row r="310" spans="1:15" x14ac:dyDescent="0.3">
      <c r="A310" t="s">
        <v>354</v>
      </c>
      <c r="B310">
        <v>30</v>
      </c>
      <c r="C310" t="s">
        <v>15</v>
      </c>
      <c r="D310" t="s">
        <v>16</v>
      </c>
      <c r="E310" t="s">
        <v>41</v>
      </c>
      <c r="F310" t="s">
        <v>42</v>
      </c>
      <c r="G310">
        <v>6</v>
      </c>
      <c r="H310">
        <v>7</v>
      </c>
      <c r="I310" t="s">
        <v>19</v>
      </c>
      <c r="J310">
        <v>3.8</v>
      </c>
      <c r="K310" t="s">
        <v>19</v>
      </c>
      <c r="L310">
        <v>57000</v>
      </c>
      <c r="M310" t="s">
        <v>29</v>
      </c>
      <c r="N310" t="s">
        <v>39</v>
      </c>
      <c r="O310">
        <v>1</v>
      </c>
    </row>
    <row r="311" spans="1:15" x14ac:dyDescent="0.3">
      <c r="A311" t="s">
        <v>355</v>
      </c>
      <c r="B311">
        <v>35</v>
      </c>
      <c r="C311" t="s">
        <v>23</v>
      </c>
      <c r="D311" t="s">
        <v>24</v>
      </c>
      <c r="E311" t="s">
        <v>25</v>
      </c>
      <c r="F311" t="s">
        <v>26</v>
      </c>
      <c r="G311">
        <v>7</v>
      </c>
      <c r="H311">
        <v>7</v>
      </c>
      <c r="I311" t="s">
        <v>19</v>
      </c>
      <c r="J311">
        <v>3.9</v>
      </c>
      <c r="K311" t="s">
        <v>19</v>
      </c>
      <c r="L311">
        <v>58000</v>
      </c>
      <c r="M311" t="s">
        <v>29</v>
      </c>
      <c r="N311" t="s">
        <v>21</v>
      </c>
      <c r="O311">
        <v>0</v>
      </c>
    </row>
    <row r="312" spans="1:15" x14ac:dyDescent="0.3">
      <c r="A312" t="s">
        <v>356</v>
      </c>
      <c r="B312">
        <v>31</v>
      </c>
      <c r="C312" t="s">
        <v>23</v>
      </c>
      <c r="D312" t="s">
        <v>16</v>
      </c>
      <c r="E312" t="s">
        <v>36</v>
      </c>
      <c r="F312" t="s">
        <v>37</v>
      </c>
      <c r="G312">
        <v>5</v>
      </c>
      <c r="H312">
        <v>6</v>
      </c>
      <c r="I312" t="s">
        <v>33</v>
      </c>
      <c r="J312">
        <v>4</v>
      </c>
      <c r="K312" t="s">
        <v>19</v>
      </c>
      <c r="L312">
        <v>59000</v>
      </c>
      <c r="M312" t="s">
        <v>29</v>
      </c>
      <c r="N312" t="s">
        <v>21</v>
      </c>
      <c r="O312">
        <v>0</v>
      </c>
    </row>
    <row r="313" spans="1:15" x14ac:dyDescent="0.3">
      <c r="A313" t="s">
        <v>357</v>
      </c>
      <c r="B313">
        <v>29</v>
      </c>
      <c r="C313" t="s">
        <v>15</v>
      </c>
      <c r="D313" t="s">
        <v>24</v>
      </c>
      <c r="E313" t="s">
        <v>45</v>
      </c>
      <c r="F313" t="s">
        <v>46</v>
      </c>
      <c r="G313">
        <v>4</v>
      </c>
      <c r="H313">
        <v>6</v>
      </c>
      <c r="I313" t="s">
        <v>33</v>
      </c>
      <c r="J313">
        <v>4.0999999999999996</v>
      </c>
      <c r="K313" t="s">
        <v>28</v>
      </c>
      <c r="L313">
        <v>60000</v>
      </c>
      <c r="M313" t="s">
        <v>29</v>
      </c>
      <c r="N313" t="s">
        <v>21</v>
      </c>
      <c r="O313">
        <v>0</v>
      </c>
    </row>
    <row r="314" spans="1:15" x14ac:dyDescent="0.3">
      <c r="A314" t="s">
        <v>358</v>
      </c>
      <c r="B314">
        <v>27</v>
      </c>
      <c r="C314" t="s">
        <v>15</v>
      </c>
      <c r="D314" t="s">
        <v>16</v>
      </c>
      <c r="E314" t="s">
        <v>17</v>
      </c>
      <c r="F314" t="s">
        <v>18</v>
      </c>
      <c r="G314">
        <v>3</v>
      </c>
      <c r="H314">
        <v>6</v>
      </c>
      <c r="I314" t="s">
        <v>33</v>
      </c>
      <c r="J314">
        <v>4.2</v>
      </c>
      <c r="K314" t="s">
        <v>28</v>
      </c>
      <c r="L314">
        <v>61000</v>
      </c>
      <c r="M314" t="s">
        <v>19</v>
      </c>
      <c r="N314" t="s">
        <v>21</v>
      </c>
      <c r="O314">
        <v>0</v>
      </c>
    </row>
    <row r="315" spans="1:15" x14ac:dyDescent="0.3">
      <c r="A315" t="s">
        <v>359</v>
      </c>
      <c r="B315">
        <v>38</v>
      </c>
      <c r="C315" t="s">
        <v>44</v>
      </c>
      <c r="D315" t="s">
        <v>16</v>
      </c>
      <c r="E315" t="s">
        <v>31</v>
      </c>
      <c r="F315" t="s">
        <v>26</v>
      </c>
      <c r="G315">
        <v>8</v>
      </c>
      <c r="H315">
        <v>8</v>
      </c>
      <c r="I315" t="s">
        <v>27</v>
      </c>
      <c r="J315">
        <v>4.3</v>
      </c>
      <c r="K315" t="s">
        <v>28</v>
      </c>
      <c r="L315">
        <v>62000</v>
      </c>
      <c r="M315" t="s">
        <v>19</v>
      </c>
      <c r="N315" t="s">
        <v>21</v>
      </c>
      <c r="O315">
        <v>0</v>
      </c>
    </row>
    <row r="316" spans="1:15" x14ac:dyDescent="0.3">
      <c r="A316" t="s">
        <v>360</v>
      </c>
      <c r="B316">
        <v>31</v>
      </c>
      <c r="C316" t="s">
        <v>23</v>
      </c>
      <c r="D316" t="s">
        <v>24</v>
      </c>
      <c r="E316" t="s">
        <v>41</v>
      </c>
      <c r="F316" t="s">
        <v>42</v>
      </c>
      <c r="G316">
        <v>6</v>
      </c>
      <c r="H316">
        <v>7</v>
      </c>
      <c r="I316" t="s">
        <v>19</v>
      </c>
      <c r="J316">
        <v>4.4000000000000004</v>
      </c>
      <c r="K316" t="s">
        <v>28</v>
      </c>
      <c r="L316">
        <v>63000</v>
      </c>
      <c r="M316" t="s">
        <v>19</v>
      </c>
      <c r="N316" t="s">
        <v>21</v>
      </c>
      <c r="O316">
        <v>0</v>
      </c>
    </row>
    <row r="317" spans="1:15" x14ac:dyDescent="0.3">
      <c r="A317" t="s">
        <v>361</v>
      </c>
      <c r="B317">
        <v>34</v>
      </c>
      <c r="C317" t="s">
        <v>23</v>
      </c>
      <c r="D317" t="s">
        <v>16</v>
      </c>
      <c r="E317" t="s">
        <v>25</v>
      </c>
      <c r="F317" t="s">
        <v>26</v>
      </c>
      <c r="G317">
        <v>7</v>
      </c>
      <c r="H317">
        <v>7</v>
      </c>
      <c r="I317" t="s">
        <v>19</v>
      </c>
      <c r="J317">
        <v>4.5</v>
      </c>
      <c r="K317" t="s">
        <v>28</v>
      </c>
      <c r="L317">
        <v>64000</v>
      </c>
      <c r="M317" t="s">
        <v>19</v>
      </c>
      <c r="N317" t="s">
        <v>21</v>
      </c>
      <c r="O317">
        <v>0</v>
      </c>
    </row>
    <row r="318" spans="1:15" x14ac:dyDescent="0.3">
      <c r="A318" t="s">
        <v>362</v>
      </c>
      <c r="B318">
        <v>30</v>
      </c>
      <c r="C318" t="s">
        <v>15</v>
      </c>
      <c r="D318" t="s">
        <v>16</v>
      </c>
      <c r="E318" t="s">
        <v>45</v>
      </c>
      <c r="F318" t="s">
        <v>46</v>
      </c>
      <c r="G318">
        <v>6</v>
      </c>
      <c r="H318">
        <v>7</v>
      </c>
      <c r="I318" t="s">
        <v>19</v>
      </c>
      <c r="J318">
        <v>4.5999999999999996</v>
      </c>
      <c r="K318" t="s">
        <v>50</v>
      </c>
      <c r="L318">
        <v>65000</v>
      </c>
      <c r="M318" t="s">
        <v>19</v>
      </c>
      <c r="N318" t="s">
        <v>21</v>
      </c>
      <c r="O318">
        <v>0</v>
      </c>
    </row>
    <row r="319" spans="1:15" x14ac:dyDescent="0.3">
      <c r="A319" t="s">
        <v>363</v>
      </c>
      <c r="B319">
        <v>32</v>
      </c>
      <c r="C319" t="s">
        <v>23</v>
      </c>
      <c r="D319" t="s">
        <v>24</v>
      </c>
      <c r="E319" t="s">
        <v>17</v>
      </c>
      <c r="F319" t="s">
        <v>18</v>
      </c>
      <c r="G319">
        <v>7</v>
      </c>
      <c r="H319">
        <v>7</v>
      </c>
      <c r="I319" t="s">
        <v>19</v>
      </c>
      <c r="J319">
        <v>3</v>
      </c>
      <c r="K319" t="s">
        <v>66</v>
      </c>
      <c r="L319">
        <v>49000</v>
      </c>
      <c r="M319" t="s">
        <v>20</v>
      </c>
      <c r="N319" t="s">
        <v>39</v>
      </c>
      <c r="O319">
        <v>1</v>
      </c>
    </row>
    <row r="320" spans="1:15" x14ac:dyDescent="0.3">
      <c r="A320" t="s">
        <v>364</v>
      </c>
      <c r="B320">
        <v>37</v>
      </c>
      <c r="C320" t="s">
        <v>44</v>
      </c>
      <c r="D320" t="s">
        <v>16</v>
      </c>
      <c r="E320" t="s">
        <v>31</v>
      </c>
      <c r="F320" t="s">
        <v>32</v>
      </c>
      <c r="G320">
        <v>9</v>
      </c>
      <c r="H320">
        <v>8</v>
      </c>
      <c r="I320" t="s">
        <v>27</v>
      </c>
      <c r="J320">
        <v>3.1</v>
      </c>
      <c r="K320" t="s">
        <v>48</v>
      </c>
      <c r="L320">
        <v>50000</v>
      </c>
      <c r="M320" t="s">
        <v>20</v>
      </c>
      <c r="N320" t="s">
        <v>39</v>
      </c>
      <c r="O320">
        <v>1</v>
      </c>
    </row>
    <row r="321" spans="1:15" x14ac:dyDescent="0.3">
      <c r="A321" t="s">
        <v>365</v>
      </c>
      <c r="B321">
        <v>35</v>
      </c>
      <c r="C321" t="s">
        <v>23</v>
      </c>
      <c r="D321" t="s">
        <v>16</v>
      </c>
      <c r="E321" t="s">
        <v>41</v>
      </c>
      <c r="F321" t="s">
        <v>42</v>
      </c>
      <c r="G321">
        <v>8</v>
      </c>
      <c r="H321">
        <v>8</v>
      </c>
      <c r="I321" t="s">
        <v>27</v>
      </c>
      <c r="J321">
        <v>3.2</v>
      </c>
      <c r="K321" t="s">
        <v>48</v>
      </c>
      <c r="L321">
        <v>51000</v>
      </c>
      <c r="M321" t="s">
        <v>29</v>
      </c>
      <c r="N321" t="s">
        <v>21</v>
      </c>
      <c r="O321">
        <v>0</v>
      </c>
    </row>
    <row r="322" spans="1:15" x14ac:dyDescent="0.3">
      <c r="A322" t="s">
        <v>366</v>
      </c>
      <c r="B322">
        <v>29</v>
      </c>
      <c r="C322" t="s">
        <v>15</v>
      </c>
      <c r="D322" t="s">
        <v>24</v>
      </c>
      <c r="E322" t="s">
        <v>25</v>
      </c>
      <c r="F322" t="s">
        <v>26</v>
      </c>
      <c r="G322">
        <v>4</v>
      </c>
      <c r="H322">
        <v>6</v>
      </c>
      <c r="I322" t="s">
        <v>33</v>
      </c>
      <c r="J322">
        <v>3.3</v>
      </c>
      <c r="K322" t="s">
        <v>48</v>
      </c>
      <c r="L322">
        <v>52000</v>
      </c>
      <c r="M322" t="s">
        <v>29</v>
      </c>
      <c r="N322" t="s">
        <v>21</v>
      </c>
      <c r="O322">
        <v>0</v>
      </c>
    </row>
    <row r="323" spans="1:15" x14ac:dyDescent="0.3">
      <c r="A323" t="s">
        <v>367</v>
      </c>
      <c r="B323">
        <v>34</v>
      </c>
      <c r="C323" t="s">
        <v>23</v>
      </c>
      <c r="D323" t="s">
        <v>16</v>
      </c>
      <c r="E323" t="s">
        <v>45</v>
      </c>
      <c r="F323" t="s">
        <v>46</v>
      </c>
      <c r="G323">
        <v>6</v>
      </c>
      <c r="H323">
        <v>7</v>
      </c>
      <c r="I323" t="s">
        <v>19</v>
      </c>
      <c r="J323">
        <v>3.4</v>
      </c>
      <c r="K323" t="s">
        <v>48</v>
      </c>
      <c r="L323">
        <v>53000</v>
      </c>
      <c r="M323" t="s">
        <v>29</v>
      </c>
      <c r="N323" t="s">
        <v>39</v>
      </c>
      <c r="O323">
        <v>1</v>
      </c>
    </row>
    <row r="324" spans="1:15" x14ac:dyDescent="0.3">
      <c r="A324" t="s">
        <v>368</v>
      </c>
      <c r="B324">
        <v>32</v>
      </c>
      <c r="C324" t="s">
        <v>23</v>
      </c>
      <c r="D324" t="s">
        <v>16</v>
      </c>
      <c r="E324" t="s">
        <v>31</v>
      </c>
      <c r="F324" t="s">
        <v>32</v>
      </c>
      <c r="G324">
        <v>5</v>
      </c>
      <c r="H324">
        <v>6</v>
      </c>
      <c r="I324" t="s">
        <v>33</v>
      </c>
      <c r="J324">
        <v>3.5</v>
      </c>
      <c r="K324" t="s">
        <v>48</v>
      </c>
      <c r="L324">
        <v>54000</v>
      </c>
      <c r="M324" t="s">
        <v>29</v>
      </c>
      <c r="N324" t="s">
        <v>21</v>
      </c>
      <c r="O324">
        <v>0</v>
      </c>
    </row>
    <row r="325" spans="1:15" x14ac:dyDescent="0.3">
      <c r="A325" t="s">
        <v>369</v>
      </c>
      <c r="B325">
        <v>35</v>
      </c>
      <c r="C325" t="s">
        <v>23</v>
      </c>
      <c r="D325" t="s">
        <v>16</v>
      </c>
      <c r="E325" t="s">
        <v>17</v>
      </c>
      <c r="F325" t="s">
        <v>18</v>
      </c>
      <c r="G325">
        <v>6</v>
      </c>
      <c r="H325">
        <v>7</v>
      </c>
      <c r="I325" t="s">
        <v>19</v>
      </c>
      <c r="J325">
        <v>3.6</v>
      </c>
      <c r="K325" t="s">
        <v>19</v>
      </c>
      <c r="L325">
        <v>55000</v>
      </c>
      <c r="M325" t="s">
        <v>29</v>
      </c>
      <c r="N325" t="s">
        <v>39</v>
      </c>
      <c r="O325">
        <v>1</v>
      </c>
    </row>
    <row r="326" spans="1:15" x14ac:dyDescent="0.3">
      <c r="A326" t="s">
        <v>370</v>
      </c>
      <c r="B326">
        <v>29</v>
      </c>
      <c r="C326" t="s">
        <v>15</v>
      </c>
      <c r="D326" t="s">
        <v>24</v>
      </c>
      <c r="E326" t="s">
        <v>41</v>
      </c>
      <c r="F326" t="s">
        <v>42</v>
      </c>
      <c r="G326">
        <v>4</v>
      </c>
      <c r="H326">
        <v>6</v>
      </c>
      <c r="I326" t="s">
        <v>33</v>
      </c>
      <c r="J326">
        <v>3.7</v>
      </c>
      <c r="K326" t="s">
        <v>19</v>
      </c>
      <c r="L326">
        <v>56000</v>
      </c>
      <c r="M326" t="s">
        <v>29</v>
      </c>
      <c r="N326" t="s">
        <v>21</v>
      </c>
      <c r="O326">
        <v>0</v>
      </c>
    </row>
    <row r="327" spans="1:15" x14ac:dyDescent="0.3">
      <c r="A327" t="s">
        <v>371</v>
      </c>
      <c r="B327">
        <v>31</v>
      </c>
      <c r="C327" t="s">
        <v>23</v>
      </c>
      <c r="D327" t="s">
        <v>16</v>
      </c>
      <c r="E327" t="s">
        <v>36</v>
      </c>
      <c r="F327" t="s">
        <v>37</v>
      </c>
      <c r="G327">
        <v>5</v>
      </c>
      <c r="H327">
        <v>6</v>
      </c>
      <c r="I327" t="s">
        <v>33</v>
      </c>
      <c r="J327">
        <v>3.8</v>
      </c>
      <c r="K327" t="s">
        <v>19</v>
      </c>
      <c r="L327">
        <v>57000</v>
      </c>
      <c r="M327" t="s">
        <v>29</v>
      </c>
      <c r="N327" t="s">
        <v>21</v>
      </c>
      <c r="O327">
        <v>0</v>
      </c>
    </row>
    <row r="328" spans="1:15" x14ac:dyDescent="0.3">
      <c r="A328" t="s">
        <v>372</v>
      </c>
      <c r="B328">
        <v>30</v>
      </c>
      <c r="C328" t="s">
        <v>15</v>
      </c>
      <c r="D328" t="s">
        <v>16</v>
      </c>
      <c r="E328" t="s">
        <v>31</v>
      </c>
      <c r="F328" t="s">
        <v>26</v>
      </c>
      <c r="G328">
        <v>6</v>
      </c>
      <c r="H328">
        <v>7</v>
      </c>
      <c r="I328" t="s">
        <v>19</v>
      </c>
      <c r="J328">
        <v>3.9</v>
      </c>
      <c r="K328" t="s">
        <v>19</v>
      </c>
      <c r="L328">
        <v>58000</v>
      </c>
      <c r="M328" t="s">
        <v>29</v>
      </c>
      <c r="N328" t="s">
        <v>21</v>
      </c>
      <c r="O328">
        <v>0</v>
      </c>
    </row>
    <row r="329" spans="1:15" x14ac:dyDescent="0.3">
      <c r="A329" t="s">
        <v>373</v>
      </c>
      <c r="B329">
        <v>28</v>
      </c>
      <c r="C329" t="s">
        <v>15</v>
      </c>
      <c r="D329" t="s">
        <v>24</v>
      </c>
      <c r="E329" t="s">
        <v>17</v>
      </c>
      <c r="F329" t="s">
        <v>18</v>
      </c>
      <c r="G329">
        <v>3</v>
      </c>
      <c r="H329">
        <v>6</v>
      </c>
      <c r="I329" t="s">
        <v>33</v>
      </c>
      <c r="J329">
        <v>4</v>
      </c>
      <c r="K329" t="s">
        <v>19</v>
      </c>
      <c r="L329">
        <v>59000</v>
      </c>
      <c r="M329" t="s">
        <v>29</v>
      </c>
      <c r="N329" t="s">
        <v>21</v>
      </c>
      <c r="O329">
        <v>0</v>
      </c>
    </row>
    <row r="330" spans="1:15" x14ac:dyDescent="0.3">
      <c r="A330" t="s">
        <v>374</v>
      </c>
      <c r="B330">
        <v>33</v>
      </c>
      <c r="C330" t="s">
        <v>23</v>
      </c>
      <c r="D330" t="s">
        <v>16</v>
      </c>
      <c r="E330" t="s">
        <v>41</v>
      </c>
      <c r="F330" t="s">
        <v>42</v>
      </c>
      <c r="G330">
        <v>6</v>
      </c>
      <c r="H330">
        <v>7</v>
      </c>
      <c r="I330" t="s">
        <v>19</v>
      </c>
      <c r="J330">
        <v>4.0999999999999996</v>
      </c>
      <c r="K330" t="s">
        <v>28</v>
      </c>
      <c r="L330">
        <v>60000</v>
      </c>
      <c r="M330" t="s">
        <v>29</v>
      </c>
      <c r="N330" t="s">
        <v>21</v>
      </c>
      <c r="O330">
        <v>0</v>
      </c>
    </row>
    <row r="331" spans="1:15" x14ac:dyDescent="0.3">
      <c r="A331" t="s">
        <v>375</v>
      </c>
      <c r="B331">
        <v>35</v>
      </c>
      <c r="C331" t="s">
        <v>23</v>
      </c>
      <c r="D331" t="s">
        <v>16</v>
      </c>
      <c r="E331" t="s">
        <v>25</v>
      </c>
      <c r="F331" t="s">
        <v>26</v>
      </c>
      <c r="G331">
        <v>7</v>
      </c>
      <c r="H331">
        <v>7</v>
      </c>
      <c r="I331" t="s">
        <v>19</v>
      </c>
      <c r="J331">
        <v>4.2</v>
      </c>
      <c r="K331" t="s">
        <v>28</v>
      </c>
      <c r="L331">
        <v>61000</v>
      </c>
      <c r="M331" t="s">
        <v>19</v>
      </c>
      <c r="N331" t="s">
        <v>21</v>
      </c>
      <c r="O331">
        <v>0</v>
      </c>
    </row>
    <row r="332" spans="1:15" x14ac:dyDescent="0.3">
      <c r="A332" t="s">
        <v>376</v>
      </c>
      <c r="B332">
        <v>32</v>
      </c>
      <c r="C332" t="s">
        <v>23</v>
      </c>
      <c r="D332" t="s">
        <v>24</v>
      </c>
      <c r="E332" t="s">
        <v>45</v>
      </c>
      <c r="F332" t="s">
        <v>46</v>
      </c>
      <c r="G332">
        <v>6</v>
      </c>
      <c r="H332">
        <v>7</v>
      </c>
      <c r="I332" t="s">
        <v>19</v>
      </c>
      <c r="J332">
        <v>4.3</v>
      </c>
      <c r="K332" t="s">
        <v>28</v>
      </c>
      <c r="L332">
        <v>62000</v>
      </c>
      <c r="M332" t="s">
        <v>19</v>
      </c>
      <c r="N332" t="s">
        <v>21</v>
      </c>
      <c r="O332">
        <v>0</v>
      </c>
    </row>
    <row r="333" spans="1:15" x14ac:dyDescent="0.3">
      <c r="A333" t="s">
        <v>377</v>
      </c>
      <c r="B333">
        <v>30</v>
      </c>
      <c r="C333" t="s">
        <v>15</v>
      </c>
      <c r="D333" t="s">
        <v>16</v>
      </c>
      <c r="E333" t="s">
        <v>17</v>
      </c>
      <c r="F333" t="s">
        <v>18</v>
      </c>
      <c r="G333">
        <v>5</v>
      </c>
      <c r="H333">
        <v>6</v>
      </c>
      <c r="I333" t="s">
        <v>33</v>
      </c>
      <c r="J333">
        <v>4.4000000000000004</v>
      </c>
      <c r="K333" t="s">
        <v>28</v>
      </c>
      <c r="L333">
        <v>63000</v>
      </c>
      <c r="M333" t="s">
        <v>19</v>
      </c>
      <c r="N333" t="s">
        <v>21</v>
      </c>
      <c r="O333">
        <v>0</v>
      </c>
    </row>
    <row r="334" spans="1:15" x14ac:dyDescent="0.3">
      <c r="A334" t="s">
        <v>378</v>
      </c>
      <c r="B334">
        <v>36</v>
      </c>
      <c r="C334" t="s">
        <v>44</v>
      </c>
      <c r="D334" t="s">
        <v>16</v>
      </c>
      <c r="E334" t="s">
        <v>25</v>
      </c>
      <c r="F334" t="s">
        <v>37</v>
      </c>
      <c r="G334">
        <v>6</v>
      </c>
      <c r="H334">
        <v>8</v>
      </c>
      <c r="I334" t="s">
        <v>27</v>
      </c>
      <c r="J334">
        <v>3.5</v>
      </c>
      <c r="K334" t="s">
        <v>48</v>
      </c>
      <c r="L334">
        <v>58000</v>
      </c>
      <c r="M334" t="s">
        <v>29</v>
      </c>
      <c r="N334" t="s">
        <v>39</v>
      </c>
      <c r="O334">
        <v>1</v>
      </c>
    </row>
    <row r="335" spans="1:15" x14ac:dyDescent="0.3">
      <c r="A335" t="s">
        <v>379</v>
      </c>
      <c r="B335">
        <v>33</v>
      </c>
      <c r="C335" t="s">
        <v>23</v>
      </c>
      <c r="D335" t="s">
        <v>16</v>
      </c>
      <c r="E335" t="s">
        <v>17</v>
      </c>
      <c r="F335" t="s">
        <v>18</v>
      </c>
      <c r="G335">
        <v>8</v>
      </c>
      <c r="H335">
        <v>6</v>
      </c>
      <c r="I335" t="s">
        <v>33</v>
      </c>
      <c r="J335">
        <v>3.2</v>
      </c>
      <c r="K335" t="s">
        <v>48</v>
      </c>
      <c r="L335">
        <v>58000</v>
      </c>
      <c r="M335" t="s">
        <v>29</v>
      </c>
      <c r="N335" t="s">
        <v>39</v>
      </c>
      <c r="O335">
        <v>1</v>
      </c>
    </row>
    <row r="336" spans="1:15" x14ac:dyDescent="0.3">
      <c r="A336" t="s">
        <v>380</v>
      </c>
      <c r="B336">
        <v>29</v>
      </c>
      <c r="C336" t="s">
        <v>15</v>
      </c>
      <c r="D336" t="s">
        <v>24</v>
      </c>
      <c r="E336" t="s">
        <v>31</v>
      </c>
      <c r="F336" t="s">
        <v>42</v>
      </c>
      <c r="G336">
        <v>2</v>
      </c>
      <c r="H336">
        <v>5</v>
      </c>
      <c r="I336" t="s">
        <v>381</v>
      </c>
      <c r="J336">
        <v>3.5</v>
      </c>
      <c r="K336" t="s">
        <v>48</v>
      </c>
      <c r="L336">
        <v>60000</v>
      </c>
      <c r="M336" t="s">
        <v>29</v>
      </c>
      <c r="N336" t="s">
        <v>39</v>
      </c>
      <c r="O336">
        <v>1</v>
      </c>
    </row>
    <row r="337" spans="1:15" x14ac:dyDescent="0.3">
      <c r="A337" t="s">
        <v>382</v>
      </c>
      <c r="B337">
        <v>34</v>
      </c>
      <c r="C337" t="s">
        <v>23</v>
      </c>
      <c r="D337" t="s">
        <v>16</v>
      </c>
      <c r="E337" t="s">
        <v>25</v>
      </c>
      <c r="F337" t="s">
        <v>37</v>
      </c>
      <c r="G337">
        <v>7</v>
      </c>
      <c r="H337">
        <v>7</v>
      </c>
      <c r="I337" t="s">
        <v>19</v>
      </c>
      <c r="J337">
        <v>3.8</v>
      </c>
      <c r="K337" t="s">
        <v>19</v>
      </c>
      <c r="L337">
        <v>62000</v>
      </c>
      <c r="M337" t="s">
        <v>19</v>
      </c>
      <c r="N337" t="s">
        <v>39</v>
      </c>
      <c r="O337">
        <v>1</v>
      </c>
    </row>
    <row r="338" spans="1:15" x14ac:dyDescent="0.3">
      <c r="A338" t="s">
        <v>383</v>
      </c>
      <c r="B338">
        <v>36</v>
      </c>
      <c r="C338" t="s">
        <v>44</v>
      </c>
      <c r="D338" t="s">
        <v>24</v>
      </c>
      <c r="E338" t="s">
        <v>36</v>
      </c>
      <c r="F338" t="s">
        <v>37</v>
      </c>
      <c r="G338">
        <v>5</v>
      </c>
      <c r="H338">
        <v>6</v>
      </c>
      <c r="I338" t="s">
        <v>33</v>
      </c>
      <c r="J338">
        <v>3.9</v>
      </c>
      <c r="K338" t="s">
        <v>19</v>
      </c>
      <c r="L338">
        <v>65000</v>
      </c>
      <c r="M338" t="s">
        <v>19</v>
      </c>
      <c r="N338" t="s">
        <v>39</v>
      </c>
      <c r="O338">
        <v>1</v>
      </c>
    </row>
    <row r="339" spans="1:15" x14ac:dyDescent="0.3">
      <c r="A339" t="s">
        <v>384</v>
      </c>
      <c r="B339">
        <v>30</v>
      </c>
      <c r="C339" t="s">
        <v>15</v>
      </c>
      <c r="D339" t="s">
        <v>16</v>
      </c>
      <c r="E339" t="s">
        <v>45</v>
      </c>
      <c r="F339" t="s">
        <v>32</v>
      </c>
      <c r="G339">
        <v>3</v>
      </c>
      <c r="H339">
        <v>6</v>
      </c>
      <c r="I339" t="s">
        <v>33</v>
      </c>
      <c r="J339">
        <v>3.4</v>
      </c>
      <c r="K339" t="s">
        <v>48</v>
      </c>
      <c r="L339">
        <v>63000</v>
      </c>
      <c r="M339" t="s">
        <v>19</v>
      </c>
      <c r="N339" t="s">
        <v>39</v>
      </c>
      <c r="O339">
        <v>1</v>
      </c>
    </row>
    <row r="340" spans="1:15" x14ac:dyDescent="0.3">
      <c r="A340" t="s">
        <v>385</v>
      </c>
      <c r="B340">
        <v>32</v>
      </c>
      <c r="C340" t="s">
        <v>23</v>
      </c>
      <c r="D340" t="s">
        <v>24</v>
      </c>
      <c r="E340" t="s">
        <v>17</v>
      </c>
      <c r="F340" t="s">
        <v>26</v>
      </c>
      <c r="G340">
        <v>10</v>
      </c>
      <c r="H340">
        <v>8</v>
      </c>
      <c r="I340" t="s">
        <v>27</v>
      </c>
      <c r="J340">
        <v>4.0999999999999996</v>
      </c>
      <c r="K340" t="s">
        <v>28</v>
      </c>
      <c r="L340">
        <v>75000</v>
      </c>
      <c r="M340" t="s">
        <v>51</v>
      </c>
      <c r="N340" t="s">
        <v>39</v>
      </c>
      <c r="O340">
        <v>1</v>
      </c>
    </row>
    <row r="341" spans="1:15" x14ac:dyDescent="0.3">
      <c r="A341" t="s">
        <v>386</v>
      </c>
      <c r="B341">
        <v>35</v>
      </c>
      <c r="C341" t="s">
        <v>23</v>
      </c>
      <c r="D341" t="s">
        <v>16</v>
      </c>
      <c r="E341" t="s">
        <v>31</v>
      </c>
      <c r="F341" t="s">
        <v>42</v>
      </c>
      <c r="G341">
        <v>4</v>
      </c>
      <c r="H341">
        <v>7</v>
      </c>
      <c r="I341" t="s">
        <v>19</v>
      </c>
      <c r="J341">
        <v>3.6</v>
      </c>
      <c r="K341" t="s">
        <v>19</v>
      </c>
      <c r="L341">
        <v>71000</v>
      </c>
      <c r="M341" t="s">
        <v>51</v>
      </c>
      <c r="N341" t="s">
        <v>39</v>
      </c>
      <c r="O341">
        <v>1</v>
      </c>
    </row>
    <row r="342" spans="1:15" x14ac:dyDescent="0.3">
      <c r="A342" t="s">
        <v>387</v>
      </c>
      <c r="B342">
        <v>28</v>
      </c>
      <c r="C342" t="s">
        <v>15</v>
      </c>
      <c r="D342" t="s">
        <v>24</v>
      </c>
      <c r="E342" t="s">
        <v>25</v>
      </c>
      <c r="F342" t="s">
        <v>37</v>
      </c>
      <c r="G342">
        <v>6</v>
      </c>
      <c r="H342">
        <v>5</v>
      </c>
      <c r="I342" t="s">
        <v>381</v>
      </c>
      <c r="J342">
        <v>3.3</v>
      </c>
      <c r="K342" t="s">
        <v>48</v>
      </c>
      <c r="L342">
        <v>48000</v>
      </c>
      <c r="M342" t="s">
        <v>20</v>
      </c>
      <c r="N342" t="s">
        <v>39</v>
      </c>
      <c r="O342">
        <v>1</v>
      </c>
    </row>
    <row r="343" spans="1:15" x14ac:dyDescent="0.3">
      <c r="A343" t="s">
        <v>388</v>
      </c>
      <c r="B343">
        <v>31</v>
      </c>
      <c r="C343" t="s">
        <v>23</v>
      </c>
      <c r="D343" t="s">
        <v>16</v>
      </c>
      <c r="E343" t="s">
        <v>36</v>
      </c>
      <c r="F343" t="s">
        <v>37</v>
      </c>
      <c r="G343">
        <v>5</v>
      </c>
      <c r="H343">
        <v>6</v>
      </c>
      <c r="I343" t="s">
        <v>33</v>
      </c>
      <c r="J343">
        <v>3.7</v>
      </c>
      <c r="K343" t="s">
        <v>19</v>
      </c>
      <c r="L343">
        <v>56000</v>
      </c>
      <c r="M343" t="s">
        <v>29</v>
      </c>
      <c r="N343" t="s">
        <v>39</v>
      </c>
      <c r="O343">
        <v>1</v>
      </c>
    </row>
    <row r="344" spans="1:15" x14ac:dyDescent="0.3">
      <c r="A344" t="s">
        <v>389</v>
      </c>
      <c r="B344">
        <v>27</v>
      </c>
      <c r="C344" t="s">
        <v>15</v>
      </c>
      <c r="D344" t="s">
        <v>24</v>
      </c>
      <c r="E344" t="s">
        <v>45</v>
      </c>
      <c r="F344" t="s">
        <v>32</v>
      </c>
      <c r="G344">
        <v>2</v>
      </c>
      <c r="H344">
        <v>5</v>
      </c>
      <c r="I344" t="s">
        <v>381</v>
      </c>
      <c r="J344">
        <v>3.8</v>
      </c>
      <c r="K344" t="s">
        <v>19</v>
      </c>
      <c r="L344">
        <v>52000</v>
      </c>
      <c r="M344" t="s">
        <v>29</v>
      </c>
      <c r="N344" t="s">
        <v>39</v>
      </c>
      <c r="O344">
        <v>1</v>
      </c>
    </row>
    <row r="345" spans="1:15" x14ac:dyDescent="0.3">
      <c r="A345" t="s">
        <v>390</v>
      </c>
      <c r="B345">
        <v>38</v>
      </c>
      <c r="C345" t="s">
        <v>44</v>
      </c>
      <c r="D345" t="s">
        <v>16</v>
      </c>
      <c r="E345" t="s">
        <v>17</v>
      </c>
      <c r="F345" t="s">
        <v>26</v>
      </c>
      <c r="G345">
        <v>11</v>
      </c>
      <c r="H345">
        <v>7</v>
      </c>
      <c r="I345" t="s">
        <v>19</v>
      </c>
      <c r="J345">
        <v>4</v>
      </c>
      <c r="K345" t="s">
        <v>19</v>
      </c>
      <c r="L345">
        <v>78000</v>
      </c>
      <c r="M345" t="s">
        <v>51</v>
      </c>
      <c r="N345" t="s">
        <v>39</v>
      </c>
      <c r="O345">
        <v>1</v>
      </c>
    </row>
    <row r="346" spans="1:15" x14ac:dyDescent="0.3">
      <c r="A346" t="s">
        <v>391</v>
      </c>
      <c r="B346">
        <v>33</v>
      </c>
      <c r="C346" t="s">
        <v>23</v>
      </c>
      <c r="D346" t="s">
        <v>24</v>
      </c>
      <c r="E346" t="s">
        <v>31</v>
      </c>
      <c r="F346" t="s">
        <v>42</v>
      </c>
      <c r="G346">
        <v>4</v>
      </c>
      <c r="H346">
        <v>7</v>
      </c>
      <c r="I346" t="s">
        <v>19</v>
      </c>
      <c r="J346">
        <v>3.5</v>
      </c>
      <c r="K346" t="s">
        <v>48</v>
      </c>
      <c r="L346">
        <v>73000</v>
      </c>
      <c r="M346" t="s">
        <v>51</v>
      </c>
      <c r="N346" t="s">
        <v>39</v>
      </c>
      <c r="O346">
        <v>1</v>
      </c>
    </row>
    <row r="347" spans="1:15" x14ac:dyDescent="0.3">
      <c r="A347" t="s">
        <v>392</v>
      </c>
      <c r="B347">
        <v>30</v>
      </c>
      <c r="C347" t="s">
        <v>15</v>
      </c>
      <c r="D347" t="s">
        <v>16</v>
      </c>
      <c r="E347" t="s">
        <v>36</v>
      </c>
      <c r="F347" t="s">
        <v>37</v>
      </c>
      <c r="G347">
        <v>6</v>
      </c>
      <c r="H347">
        <v>6</v>
      </c>
      <c r="I347" t="s">
        <v>33</v>
      </c>
      <c r="J347">
        <v>3.9</v>
      </c>
      <c r="K347" t="s">
        <v>19</v>
      </c>
      <c r="L347">
        <v>62000</v>
      </c>
      <c r="M347" t="s">
        <v>19</v>
      </c>
      <c r="N347" t="s">
        <v>39</v>
      </c>
      <c r="O347">
        <v>1</v>
      </c>
    </row>
    <row r="348" spans="1:15" x14ac:dyDescent="0.3">
      <c r="A348" t="s">
        <v>393</v>
      </c>
      <c r="B348">
        <v>29</v>
      </c>
      <c r="C348" t="s">
        <v>15</v>
      </c>
      <c r="D348" t="s">
        <v>16</v>
      </c>
      <c r="E348" t="s">
        <v>25</v>
      </c>
      <c r="F348" t="s">
        <v>37</v>
      </c>
      <c r="G348">
        <v>4</v>
      </c>
      <c r="H348">
        <v>7</v>
      </c>
      <c r="I348" t="s">
        <v>19</v>
      </c>
      <c r="J348">
        <v>4.2</v>
      </c>
      <c r="K348" t="s">
        <v>28</v>
      </c>
      <c r="L348">
        <v>61000</v>
      </c>
      <c r="M348" t="s">
        <v>19</v>
      </c>
      <c r="N348" t="s">
        <v>21</v>
      </c>
      <c r="O348">
        <v>0</v>
      </c>
    </row>
    <row r="349" spans="1:15" x14ac:dyDescent="0.3">
      <c r="A349" t="s">
        <v>394</v>
      </c>
      <c r="B349">
        <v>44</v>
      </c>
      <c r="C349" t="s">
        <v>35</v>
      </c>
      <c r="D349" t="s">
        <v>24</v>
      </c>
      <c r="E349" t="s">
        <v>17</v>
      </c>
      <c r="F349" t="s">
        <v>26</v>
      </c>
      <c r="G349">
        <v>10</v>
      </c>
      <c r="H349">
        <v>8</v>
      </c>
      <c r="I349" t="s">
        <v>27</v>
      </c>
      <c r="J349">
        <v>4.3</v>
      </c>
      <c r="K349" t="s">
        <v>28</v>
      </c>
      <c r="L349">
        <v>75000</v>
      </c>
      <c r="M349" t="s">
        <v>51</v>
      </c>
      <c r="N349" t="s">
        <v>21</v>
      </c>
      <c r="O349">
        <v>0</v>
      </c>
    </row>
    <row r="350" spans="1:15" x14ac:dyDescent="0.3">
      <c r="A350" t="s">
        <v>395</v>
      </c>
      <c r="B350">
        <v>30</v>
      </c>
      <c r="C350" t="s">
        <v>15</v>
      </c>
      <c r="D350" t="s">
        <v>16</v>
      </c>
      <c r="E350" t="s">
        <v>36</v>
      </c>
      <c r="F350" t="s">
        <v>37</v>
      </c>
      <c r="G350">
        <v>6</v>
      </c>
      <c r="H350">
        <v>5</v>
      </c>
      <c r="I350" t="s">
        <v>381</v>
      </c>
      <c r="J350">
        <v>4.7</v>
      </c>
      <c r="K350" t="s">
        <v>50</v>
      </c>
      <c r="L350">
        <v>64000</v>
      </c>
      <c r="M350" t="s">
        <v>19</v>
      </c>
      <c r="N350" t="s">
        <v>21</v>
      </c>
      <c r="O350">
        <v>0</v>
      </c>
    </row>
    <row r="351" spans="1:15" x14ac:dyDescent="0.3">
      <c r="A351" t="s">
        <v>396</v>
      </c>
      <c r="B351">
        <v>37</v>
      </c>
      <c r="C351" t="s">
        <v>44</v>
      </c>
      <c r="D351" t="s">
        <v>24</v>
      </c>
      <c r="E351" t="s">
        <v>45</v>
      </c>
      <c r="F351" t="s">
        <v>32</v>
      </c>
      <c r="G351">
        <v>8</v>
      </c>
      <c r="H351">
        <v>6</v>
      </c>
      <c r="I351" t="s">
        <v>33</v>
      </c>
      <c r="J351">
        <v>4.5</v>
      </c>
      <c r="K351" t="s">
        <v>28</v>
      </c>
      <c r="L351">
        <v>72000</v>
      </c>
      <c r="M351" t="s">
        <v>51</v>
      </c>
      <c r="N351" t="s">
        <v>21</v>
      </c>
      <c r="O351">
        <v>0</v>
      </c>
    </row>
    <row r="352" spans="1:15" x14ac:dyDescent="0.3">
      <c r="A352" t="s">
        <v>397</v>
      </c>
      <c r="B352">
        <v>35</v>
      </c>
      <c r="C352" t="s">
        <v>23</v>
      </c>
      <c r="D352" t="s">
        <v>16</v>
      </c>
      <c r="E352" t="s">
        <v>17</v>
      </c>
      <c r="F352" t="s">
        <v>18</v>
      </c>
      <c r="G352">
        <v>6</v>
      </c>
      <c r="H352">
        <v>6</v>
      </c>
      <c r="I352" t="s">
        <v>33</v>
      </c>
      <c r="J352">
        <v>4.0999999999999996</v>
      </c>
      <c r="K352" t="s">
        <v>28</v>
      </c>
      <c r="L352">
        <v>56000</v>
      </c>
      <c r="M352" t="s">
        <v>29</v>
      </c>
      <c r="N352" t="s">
        <v>39</v>
      </c>
      <c r="O352">
        <v>1</v>
      </c>
    </row>
    <row r="353" spans="1:15" x14ac:dyDescent="0.3">
      <c r="A353" t="s">
        <v>398</v>
      </c>
      <c r="B353">
        <v>31</v>
      </c>
      <c r="C353" t="s">
        <v>23</v>
      </c>
      <c r="D353" t="s">
        <v>24</v>
      </c>
      <c r="E353" t="s">
        <v>31</v>
      </c>
      <c r="F353" t="s">
        <v>42</v>
      </c>
      <c r="G353">
        <v>4</v>
      </c>
      <c r="H353">
        <v>7</v>
      </c>
      <c r="I353" t="s">
        <v>19</v>
      </c>
      <c r="J353">
        <v>3.8</v>
      </c>
      <c r="K353" t="s">
        <v>19</v>
      </c>
      <c r="L353">
        <v>59000</v>
      </c>
      <c r="M353" t="s">
        <v>29</v>
      </c>
      <c r="N353" t="s">
        <v>39</v>
      </c>
      <c r="O353">
        <v>1</v>
      </c>
    </row>
    <row r="354" spans="1:15" x14ac:dyDescent="0.3">
      <c r="A354" t="s">
        <v>399</v>
      </c>
      <c r="B354">
        <v>29</v>
      </c>
      <c r="C354" t="s">
        <v>15</v>
      </c>
      <c r="D354" t="s">
        <v>16</v>
      </c>
      <c r="E354" t="s">
        <v>25</v>
      </c>
      <c r="F354" t="s">
        <v>37</v>
      </c>
      <c r="G354">
        <v>3</v>
      </c>
      <c r="H354">
        <v>6</v>
      </c>
      <c r="I354" t="s">
        <v>33</v>
      </c>
      <c r="J354">
        <v>3.5</v>
      </c>
      <c r="K354" t="s">
        <v>48</v>
      </c>
      <c r="L354">
        <v>54000</v>
      </c>
      <c r="M354" t="s">
        <v>29</v>
      </c>
      <c r="N354" t="s">
        <v>39</v>
      </c>
      <c r="O354">
        <v>1</v>
      </c>
    </row>
    <row r="355" spans="1:15" x14ac:dyDescent="0.3">
      <c r="A355" t="s">
        <v>400</v>
      </c>
      <c r="B355">
        <v>38</v>
      </c>
      <c r="C355" t="s">
        <v>44</v>
      </c>
      <c r="D355" t="s">
        <v>24</v>
      </c>
      <c r="E355" t="s">
        <v>36</v>
      </c>
      <c r="F355" t="s">
        <v>37</v>
      </c>
      <c r="G355">
        <v>8</v>
      </c>
      <c r="H355">
        <v>5</v>
      </c>
      <c r="I355" t="s">
        <v>381</v>
      </c>
      <c r="J355">
        <v>3.7</v>
      </c>
      <c r="K355" t="s">
        <v>19</v>
      </c>
      <c r="L355">
        <v>63000</v>
      </c>
      <c r="M355" t="s">
        <v>19</v>
      </c>
      <c r="N355" t="s">
        <v>39</v>
      </c>
      <c r="O355">
        <v>1</v>
      </c>
    </row>
    <row r="356" spans="1:15" x14ac:dyDescent="0.3">
      <c r="A356" t="s">
        <v>401</v>
      </c>
      <c r="B356">
        <v>40</v>
      </c>
      <c r="C356" t="s">
        <v>44</v>
      </c>
      <c r="D356" t="s">
        <v>16</v>
      </c>
      <c r="E356" t="s">
        <v>41</v>
      </c>
      <c r="F356" t="s">
        <v>42</v>
      </c>
      <c r="G356">
        <v>10</v>
      </c>
      <c r="H356">
        <v>6</v>
      </c>
      <c r="I356" t="s">
        <v>33</v>
      </c>
      <c r="J356">
        <v>4</v>
      </c>
      <c r="K356" t="s">
        <v>19</v>
      </c>
      <c r="L356">
        <v>67000</v>
      </c>
      <c r="M356" t="s">
        <v>19</v>
      </c>
      <c r="N356" t="s">
        <v>39</v>
      </c>
      <c r="O356">
        <v>1</v>
      </c>
    </row>
    <row r="357" spans="1:15" x14ac:dyDescent="0.3">
      <c r="A357" t="s">
        <v>402</v>
      </c>
      <c r="B357">
        <v>27</v>
      </c>
      <c r="C357" t="s">
        <v>15</v>
      </c>
      <c r="D357" t="s">
        <v>24</v>
      </c>
      <c r="E357" t="s">
        <v>45</v>
      </c>
      <c r="F357" t="s">
        <v>32</v>
      </c>
      <c r="G357">
        <v>2</v>
      </c>
      <c r="H357">
        <v>7</v>
      </c>
      <c r="I357" t="s">
        <v>19</v>
      </c>
      <c r="J357">
        <v>4.2</v>
      </c>
      <c r="K357" t="s">
        <v>28</v>
      </c>
      <c r="L357">
        <v>60000</v>
      </c>
      <c r="M357" t="s">
        <v>29</v>
      </c>
      <c r="N357" t="s">
        <v>39</v>
      </c>
      <c r="O357">
        <v>1</v>
      </c>
    </row>
    <row r="358" spans="1:15" x14ac:dyDescent="0.3">
      <c r="A358" t="s">
        <v>403</v>
      </c>
      <c r="B358">
        <v>45</v>
      </c>
      <c r="C358" t="s">
        <v>35</v>
      </c>
      <c r="D358" t="s">
        <v>16</v>
      </c>
      <c r="E358" t="s">
        <v>17</v>
      </c>
      <c r="F358" t="s">
        <v>26</v>
      </c>
      <c r="G358">
        <v>11</v>
      </c>
      <c r="H358">
        <v>8</v>
      </c>
      <c r="I358" t="s">
        <v>27</v>
      </c>
      <c r="J358">
        <v>4.5999999999999996</v>
      </c>
      <c r="K358" t="s">
        <v>50</v>
      </c>
      <c r="L358">
        <v>73000</v>
      </c>
      <c r="M358" t="s">
        <v>51</v>
      </c>
      <c r="N358" t="s">
        <v>39</v>
      </c>
      <c r="O358">
        <v>1</v>
      </c>
    </row>
    <row r="359" spans="1:15" x14ac:dyDescent="0.3">
      <c r="A359" t="s">
        <v>404</v>
      </c>
      <c r="B359">
        <v>32</v>
      </c>
      <c r="C359" t="s">
        <v>23</v>
      </c>
      <c r="D359" t="s">
        <v>24</v>
      </c>
      <c r="E359" t="s">
        <v>31</v>
      </c>
      <c r="F359" t="s">
        <v>42</v>
      </c>
      <c r="G359">
        <v>5</v>
      </c>
      <c r="H359">
        <v>5</v>
      </c>
      <c r="I359" t="s">
        <v>381</v>
      </c>
      <c r="J359">
        <v>3.4</v>
      </c>
      <c r="K359" t="s">
        <v>48</v>
      </c>
      <c r="L359">
        <v>57000</v>
      </c>
      <c r="M359" t="s">
        <v>29</v>
      </c>
      <c r="N359" t="s">
        <v>39</v>
      </c>
      <c r="O359">
        <v>1</v>
      </c>
    </row>
    <row r="360" spans="1:15" x14ac:dyDescent="0.3">
      <c r="A360" t="s">
        <v>405</v>
      </c>
      <c r="B360">
        <v>29</v>
      </c>
      <c r="C360" t="s">
        <v>15</v>
      </c>
      <c r="D360" t="s">
        <v>16</v>
      </c>
      <c r="E360" t="s">
        <v>36</v>
      </c>
      <c r="F360" t="s">
        <v>37</v>
      </c>
      <c r="G360">
        <v>4</v>
      </c>
      <c r="H360">
        <v>6</v>
      </c>
      <c r="I360" t="s">
        <v>33</v>
      </c>
      <c r="J360">
        <v>3.9</v>
      </c>
      <c r="K360" t="s">
        <v>19</v>
      </c>
      <c r="L360">
        <v>61000</v>
      </c>
      <c r="M360" t="s">
        <v>19</v>
      </c>
      <c r="N360" t="s">
        <v>39</v>
      </c>
      <c r="O360">
        <v>1</v>
      </c>
    </row>
    <row r="361" spans="1:15" x14ac:dyDescent="0.3">
      <c r="A361" t="s">
        <v>406</v>
      </c>
      <c r="B361">
        <v>33</v>
      </c>
      <c r="C361" t="s">
        <v>23</v>
      </c>
      <c r="D361" t="s">
        <v>24</v>
      </c>
      <c r="E361" t="s">
        <v>45</v>
      </c>
      <c r="F361" t="s">
        <v>32</v>
      </c>
      <c r="G361">
        <v>6</v>
      </c>
      <c r="H361">
        <v>7</v>
      </c>
      <c r="I361" t="s">
        <v>19</v>
      </c>
      <c r="J361">
        <v>4.0999999999999996</v>
      </c>
      <c r="K361" t="s">
        <v>28</v>
      </c>
      <c r="L361">
        <v>64000</v>
      </c>
      <c r="M361" t="s">
        <v>19</v>
      </c>
      <c r="N361" t="s">
        <v>39</v>
      </c>
      <c r="O361">
        <v>1</v>
      </c>
    </row>
    <row r="362" spans="1:15" x14ac:dyDescent="0.3">
      <c r="A362" t="s">
        <v>407</v>
      </c>
      <c r="B362">
        <v>37</v>
      </c>
      <c r="C362" t="s">
        <v>44</v>
      </c>
      <c r="D362" t="s">
        <v>16</v>
      </c>
      <c r="E362" t="s">
        <v>25</v>
      </c>
      <c r="F362" t="s">
        <v>37</v>
      </c>
      <c r="G362">
        <v>7</v>
      </c>
      <c r="H362">
        <v>6</v>
      </c>
      <c r="I362" t="s">
        <v>33</v>
      </c>
      <c r="J362">
        <v>4.3</v>
      </c>
      <c r="K362" t="s">
        <v>28</v>
      </c>
      <c r="L362">
        <v>69000</v>
      </c>
      <c r="M362" t="s">
        <v>19</v>
      </c>
      <c r="N362" t="s">
        <v>39</v>
      </c>
      <c r="O362">
        <v>1</v>
      </c>
    </row>
    <row r="363" spans="1:15" x14ac:dyDescent="0.3">
      <c r="A363" t="s">
        <v>408</v>
      </c>
      <c r="B363">
        <v>28</v>
      </c>
      <c r="C363" t="s">
        <v>15</v>
      </c>
      <c r="D363" t="s">
        <v>24</v>
      </c>
      <c r="E363" t="s">
        <v>17</v>
      </c>
      <c r="F363" t="s">
        <v>18</v>
      </c>
      <c r="G363">
        <v>2</v>
      </c>
      <c r="H363">
        <v>5</v>
      </c>
      <c r="I363" t="s">
        <v>381</v>
      </c>
      <c r="J363">
        <v>3.2</v>
      </c>
      <c r="K363" t="s">
        <v>48</v>
      </c>
      <c r="L363">
        <v>58000</v>
      </c>
      <c r="M363" t="s">
        <v>29</v>
      </c>
      <c r="N363" t="s">
        <v>39</v>
      </c>
      <c r="O363">
        <v>1</v>
      </c>
    </row>
    <row r="364" spans="1:15" x14ac:dyDescent="0.3">
      <c r="A364" t="s">
        <v>409</v>
      </c>
      <c r="B364">
        <v>34</v>
      </c>
      <c r="C364" t="s">
        <v>23</v>
      </c>
      <c r="D364" t="s">
        <v>16</v>
      </c>
      <c r="E364" t="s">
        <v>36</v>
      </c>
      <c r="F364" t="s">
        <v>37</v>
      </c>
      <c r="G364">
        <v>6</v>
      </c>
      <c r="H364">
        <v>7</v>
      </c>
      <c r="I364" t="s">
        <v>19</v>
      </c>
      <c r="J364">
        <v>3.8</v>
      </c>
      <c r="K364" t="s">
        <v>19</v>
      </c>
      <c r="L364">
        <v>62000</v>
      </c>
      <c r="M364" t="s">
        <v>19</v>
      </c>
      <c r="N364" t="s">
        <v>39</v>
      </c>
      <c r="O364">
        <v>1</v>
      </c>
    </row>
    <row r="365" spans="1:15" x14ac:dyDescent="0.3">
      <c r="A365" t="s">
        <v>410</v>
      </c>
      <c r="B365">
        <v>36</v>
      </c>
      <c r="C365" t="s">
        <v>44</v>
      </c>
      <c r="D365" t="s">
        <v>24</v>
      </c>
      <c r="E365" t="s">
        <v>45</v>
      </c>
      <c r="F365" t="s">
        <v>32</v>
      </c>
      <c r="G365">
        <v>8</v>
      </c>
      <c r="H365">
        <v>6</v>
      </c>
      <c r="I365" t="s">
        <v>33</v>
      </c>
      <c r="J365">
        <v>3.7</v>
      </c>
      <c r="K365" t="s">
        <v>19</v>
      </c>
      <c r="L365">
        <v>60000</v>
      </c>
      <c r="M365" t="s">
        <v>29</v>
      </c>
      <c r="N365" t="s">
        <v>39</v>
      </c>
      <c r="O365">
        <v>1</v>
      </c>
    </row>
    <row r="366" spans="1:15" x14ac:dyDescent="0.3">
      <c r="A366" t="s">
        <v>411</v>
      </c>
      <c r="B366">
        <v>30</v>
      </c>
      <c r="C366" t="s">
        <v>15</v>
      </c>
      <c r="D366" t="s">
        <v>16</v>
      </c>
      <c r="E366" t="s">
        <v>17</v>
      </c>
      <c r="F366" t="s">
        <v>26</v>
      </c>
      <c r="G366">
        <v>5</v>
      </c>
      <c r="H366">
        <v>7</v>
      </c>
      <c r="I366" t="s">
        <v>19</v>
      </c>
      <c r="J366">
        <v>4.5</v>
      </c>
      <c r="K366" t="s">
        <v>28</v>
      </c>
      <c r="L366">
        <v>68000</v>
      </c>
      <c r="M366" t="s">
        <v>19</v>
      </c>
      <c r="N366" t="s">
        <v>39</v>
      </c>
      <c r="O366">
        <v>1</v>
      </c>
    </row>
    <row r="367" spans="1:15" x14ac:dyDescent="0.3">
      <c r="A367" t="s">
        <v>412</v>
      </c>
      <c r="B367">
        <v>31</v>
      </c>
      <c r="C367" t="s">
        <v>23</v>
      </c>
      <c r="D367" t="s">
        <v>24</v>
      </c>
      <c r="E367" t="s">
        <v>25</v>
      </c>
      <c r="F367" t="s">
        <v>37</v>
      </c>
      <c r="G367">
        <v>4</v>
      </c>
      <c r="H367">
        <v>6</v>
      </c>
      <c r="I367" t="s">
        <v>33</v>
      </c>
      <c r="J367">
        <v>3.5</v>
      </c>
      <c r="K367" t="s">
        <v>48</v>
      </c>
      <c r="L367">
        <v>56000</v>
      </c>
      <c r="M367" t="s">
        <v>29</v>
      </c>
      <c r="N367" t="s">
        <v>39</v>
      </c>
      <c r="O367">
        <v>1</v>
      </c>
    </row>
    <row r="368" spans="1:15" x14ac:dyDescent="0.3">
      <c r="A368" t="s">
        <v>413</v>
      </c>
      <c r="B368">
        <v>29</v>
      </c>
      <c r="C368" t="s">
        <v>15</v>
      </c>
      <c r="D368" t="s">
        <v>16</v>
      </c>
      <c r="E368" t="s">
        <v>31</v>
      </c>
      <c r="F368" t="s">
        <v>42</v>
      </c>
      <c r="G368">
        <v>3</v>
      </c>
      <c r="H368">
        <v>5</v>
      </c>
      <c r="I368" t="s">
        <v>381</v>
      </c>
      <c r="J368">
        <v>3.9</v>
      </c>
      <c r="K368" t="s">
        <v>19</v>
      </c>
      <c r="L368">
        <v>61000</v>
      </c>
      <c r="M368" t="s">
        <v>19</v>
      </c>
      <c r="N368" t="s">
        <v>39</v>
      </c>
      <c r="O368">
        <v>1</v>
      </c>
    </row>
    <row r="369" spans="1:15" x14ac:dyDescent="0.3">
      <c r="A369" t="s">
        <v>414</v>
      </c>
      <c r="B369">
        <v>40</v>
      </c>
      <c r="C369" t="s">
        <v>44</v>
      </c>
      <c r="D369" t="s">
        <v>24</v>
      </c>
      <c r="E369" t="s">
        <v>36</v>
      </c>
      <c r="F369" t="s">
        <v>37</v>
      </c>
      <c r="G369">
        <v>8</v>
      </c>
      <c r="H369">
        <v>7</v>
      </c>
      <c r="I369" t="s">
        <v>19</v>
      </c>
      <c r="J369">
        <v>3.8</v>
      </c>
      <c r="K369" t="s">
        <v>19</v>
      </c>
      <c r="L369">
        <v>62000</v>
      </c>
      <c r="M369" t="s">
        <v>19</v>
      </c>
      <c r="N369" t="s">
        <v>39</v>
      </c>
      <c r="O369">
        <v>1</v>
      </c>
    </row>
    <row r="370" spans="1:15" x14ac:dyDescent="0.3">
      <c r="A370" t="s">
        <v>415</v>
      </c>
      <c r="B370">
        <v>38</v>
      </c>
      <c r="C370" t="s">
        <v>44</v>
      </c>
      <c r="D370" t="s">
        <v>16</v>
      </c>
      <c r="E370" t="s">
        <v>45</v>
      </c>
      <c r="F370" t="s">
        <v>32</v>
      </c>
      <c r="G370">
        <v>7</v>
      </c>
      <c r="H370">
        <v>6</v>
      </c>
      <c r="I370" t="s">
        <v>33</v>
      </c>
      <c r="J370">
        <v>3.7</v>
      </c>
      <c r="K370" t="s">
        <v>19</v>
      </c>
      <c r="L370">
        <v>60000</v>
      </c>
      <c r="M370" t="s">
        <v>29</v>
      </c>
      <c r="N370" t="s">
        <v>39</v>
      </c>
      <c r="O370">
        <v>1</v>
      </c>
    </row>
    <row r="371" spans="1:15" x14ac:dyDescent="0.3">
      <c r="A371" t="s">
        <v>416</v>
      </c>
      <c r="B371">
        <v>35</v>
      </c>
      <c r="C371" t="s">
        <v>23</v>
      </c>
      <c r="D371" t="s">
        <v>24</v>
      </c>
      <c r="E371" t="s">
        <v>17</v>
      </c>
      <c r="F371" t="s">
        <v>26</v>
      </c>
      <c r="G371">
        <v>6</v>
      </c>
      <c r="H371">
        <v>7</v>
      </c>
      <c r="I371" t="s">
        <v>19</v>
      </c>
      <c r="J371">
        <v>4.0999999999999996</v>
      </c>
      <c r="K371" t="s">
        <v>28</v>
      </c>
      <c r="L371">
        <v>59000</v>
      </c>
      <c r="M371" t="s">
        <v>29</v>
      </c>
      <c r="N371" t="s">
        <v>39</v>
      </c>
      <c r="O371">
        <v>1</v>
      </c>
    </row>
    <row r="372" spans="1:15" x14ac:dyDescent="0.3">
      <c r="A372" t="s">
        <v>417</v>
      </c>
      <c r="B372">
        <v>37</v>
      </c>
      <c r="C372" t="s">
        <v>44</v>
      </c>
      <c r="D372" t="s">
        <v>16</v>
      </c>
      <c r="E372" t="s">
        <v>25</v>
      </c>
      <c r="F372" t="s">
        <v>37</v>
      </c>
      <c r="G372">
        <v>9</v>
      </c>
      <c r="H372">
        <v>6</v>
      </c>
      <c r="I372" t="s">
        <v>33</v>
      </c>
      <c r="J372">
        <v>3.6</v>
      </c>
      <c r="K372" t="s">
        <v>19</v>
      </c>
      <c r="L372">
        <v>57000</v>
      </c>
      <c r="M372" t="s">
        <v>29</v>
      </c>
      <c r="N372" t="s">
        <v>39</v>
      </c>
      <c r="O372">
        <v>1</v>
      </c>
    </row>
    <row r="373" spans="1:15" x14ac:dyDescent="0.3">
      <c r="A373" t="s">
        <v>418</v>
      </c>
      <c r="B373">
        <v>29</v>
      </c>
      <c r="C373" t="s">
        <v>15</v>
      </c>
      <c r="D373" t="s">
        <v>24</v>
      </c>
      <c r="E373" t="s">
        <v>31</v>
      </c>
      <c r="F373" t="s">
        <v>42</v>
      </c>
      <c r="G373">
        <v>3</v>
      </c>
      <c r="H373">
        <v>7</v>
      </c>
      <c r="I373" t="s">
        <v>19</v>
      </c>
      <c r="J373">
        <v>4.2</v>
      </c>
      <c r="K373" t="s">
        <v>28</v>
      </c>
      <c r="L373">
        <v>61000</v>
      </c>
      <c r="M373" t="s">
        <v>19</v>
      </c>
      <c r="N373" t="s">
        <v>39</v>
      </c>
      <c r="O373">
        <v>1</v>
      </c>
    </row>
    <row r="374" spans="1:15" x14ac:dyDescent="0.3">
      <c r="A374" t="s">
        <v>419</v>
      </c>
      <c r="B374">
        <v>31</v>
      </c>
      <c r="C374" t="s">
        <v>23</v>
      </c>
      <c r="D374" t="s">
        <v>16</v>
      </c>
      <c r="E374" t="s">
        <v>36</v>
      </c>
      <c r="F374" t="s">
        <v>37</v>
      </c>
      <c r="G374">
        <v>5</v>
      </c>
      <c r="H374">
        <v>6</v>
      </c>
      <c r="I374" t="s">
        <v>33</v>
      </c>
      <c r="J374">
        <v>3.8</v>
      </c>
      <c r="K374" t="s">
        <v>19</v>
      </c>
      <c r="L374">
        <v>62000</v>
      </c>
      <c r="M374" t="s">
        <v>19</v>
      </c>
      <c r="N374" t="s">
        <v>39</v>
      </c>
      <c r="O374">
        <v>1</v>
      </c>
    </row>
    <row r="375" spans="1:15" x14ac:dyDescent="0.3">
      <c r="A375" t="s">
        <v>420</v>
      </c>
      <c r="B375">
        <v>40</v>
      </c>
      <c r="C375" t="s">
        <v>44</v>
      </c>
      <c r="D375" t="s">
        <v>24</v>
      </c>
      <c r="E375" t="s">
        <v>45</v>
      </c>
      <c r="F375" t="s">
        <v>32</v>
      </c>
      <c r="G375">
        <v>7</v>
      </c>
      <c r="H375">
        <v>7</v>
      </c>
      <c r="I375" t="s">
        <v>19</v>
      </c>
      <c r="J375">
        <v>4</v>
      </c>
      <c r="K375" t="s">
        <v>19</v>
      </c>
      <c r="L375">
        <v>64000</v>
      </c>
      <c r="M375" t="s">
        <v>19</v>
      </c>
      <c r="N375" t="s">
        <v>39</v>
      </c>
      <c r="O375">
        <v>1</v>
      </c>
    </row>
    <row r="376" spans="1:15" x14ac:dyDescent="0.3">
      <c r="A376" t="s">
        <v>421</v>
      </c>
      <c r="B376">
        <v>45</v>
      </c>
      <c r="C376" t="s">
        <v>35</v>
      </c>
      <c r="D376" t="s">
        <v>16</v>
      </c>
      <c r="E376" t="s">
        <v>17</v>
      </c>
      <c r="F376" t="s">
        <v>26</v>
      </c>
      <c r="G376">
        <v>11</v>
      </c>
      <c r="H376">
        <v>8</v>
      </c>
      <c r="I376" t="s">
        <v>27</v>
      </c>
      <c r="J376">
        <v>4.3</v>
      </c>
      <c r="K376" t="s">
        <v>28</v>
      </c>
      <c r="L376">
        <v>66000</v>
      </c>
      <c r="M376" t="s">
        <v>19</v>
      </c>
      <c r="N376" t="s">
        <v>39</v>
      </c>
      <c r="O376">
        <v>1</v>
      </c>
    </row>
    <row r="377" spans="1:15" x14ac:dyDescent="0.3">
      <c r="A377" t="s">
        <v>422</v>
      </c>
      <c r="B377">
        <v>32</v>
      </c>
      <c r="C377" t="s">
        <v>23</v>
      </c>
      <c r="D377" t="s">
        <v>24</v>
      </c>
      <c r="E377" t="s">
        <v>31</v>
      </c>
      <c r="F377" t="s">
        <v>42</v>
      </c>
      <c r="G377">
        <v>5</v>
      </c>
      <c r="H377">
        <v>7</v>
      </c>
      <c r="I377" t="s">
        <v>19</v>
      </c>
      <c r="J377">
        <v>3.4</v>
      </c>
      <c r="K377" t="s">
        <v>48</v>
      </c>
      <c r="L377">
        <v>57000</v>
      </c>
      <c r="M377" t="s">
        <v>29</v>
      </c>
      <c r="N377" t="s">
        <v>39</v>
      </c>
      <c r="O377">
        <v>1</v>
      </c>
    </row>
    <row r="378" spans="1:15" x14ac:dyDescent="0.3">
      <c r="A378" t="s">
        <v>423</v>
      </c>
      <c r="B378">
        <v>29</v>
      </c>
      <c r="C378" t="s">
        <v>15</v>
      </c>
      <c r="D378" t="s">
        <v>16</v>
      </c>
      <c r="E378" t="s">
        <v>36</v>
      </c>
      <c r="F378" t="s">
        <v>37</v>
      </c>
      <c r="G378">
        <v>4</v>
      </c>
      <c r="H378">
        <v>6</v>
      </c>
      <c r="I378" t="s">
        <v>33</v>
      </c>
      <c r="J378">
        <v>3.9</v>
      </c>
      <c r="K378" t="s">
        <v>19</v>
      </c>
      <c r="L378">
        <v>61000</v>
      </c>
      <c r="M378" t="s">
        <v>19</v>
      </c>
      <c r="N378" t="s">
        <v>39</v>
      </c>
      <c r="O378">
        <v>1</v>
      </c>
    </row>
    <row r="379" spans="1:15" x14ac:dyDescent="0.3">
      <c r="A379" t="s">
        <v>424</v>
      </c>
      <c r="B379">
        <v>36</v>
      </c>
      <c r="C379" t="s">
        <v>44</v>
      </c>
      <c r="D379" t="s">
        <v>24</v>
      </c>
      <c r="E379" t="s">
        <v>45</v>
      </c>
      <c r="F379" t="s">
        <v>32</v>
      </c>
      <c r="G379">
        <v>8</v>
      </c>
      <c r="H379">
        <v>7</v>
      </c>
      <c r="I379" t="s">
        <v>19</v>
      </c>
      <c r="J379">
        <v>3.7</v>
      </c>
      <c r="K379" t="s">
        <v>19</v>
      </c>
      <c r="L379">
        <v>60000</v>
      </c>
      <c r="M379" t="s">
        <v>29</v>
      </c>
      <c r="N379" t="s">
        <v>39</v>
      </c>
      <c r="O379">
        <v>1</v>
      </c>
    </row>
    <row r="380" spans="1:15" x14ac:dyDescent="0.3">
      <c r="A380" t="s">
        <v>425</v>
      </c>
      <c r="B380">
        <v>40</v>
      </c>
      <c r="C380" t="s">
        <v>44</v>
      </c>
      <c r="D380" t="s">
        <v>16</v>
      </c>
      <c r="E380" t="s">
        <v>17</v>
      </c>
      <c r="F380" t="s">
        <v>26</v>
      </c>
      <c r="G380">
        <v>11</v>
      </c>
      <c r="H380">
        <v>8</v>
      </c>
      <c r="I380" t="s">
        <v>27</v>
      </c>
      <c r="J380">
        <v>4.5999999999999996</v>
      </c>
      <c r="K380" t="s">
        <v>50</v>
      </c>
      <c r="L380">
        <v>67000</v>
      </c>
      <c r="M380" t="s">
        <v>19</v>
      </c>
      <c r="N380" t="s">
        <v>39</v>
      </c>
      <c r="O380">
        <v>1</v>
      </c>
    </row>
    <row r="381" spans="1:15" x14ac:dyDescent="0.3">
      <c r="A381" t="s">
        <v>426</v>
      </c>
      <c r="B381">
        <v>27</v>
      </c>
      <c r="C381" t="s">
        <v>15</v>
      </c>
      <c r="D381" t="s">
        <v>24</v>
      </c>
      <c r="E381" t="s">
        <v>25</v>
      </c>
      <c r="F381" t="s">
        <v>37</v>
      </c>
      <c r="G381">
        <v>2</v>
      </c>
      <c r="H381">
        <v>5</v>
      </c>
      <c r="I381" t="s">
        <v>381</v>
      </c>
      <c r="J381">
        <v>3.3</v>
      </c>
      <c r="K381" t="s">
        <v>48</v>
      </c>
      <c r="L381">
        <v>58000</v>
      </c>
      <c r="M381" t="s">
        <v>29</v>
      </c>
      <c r="N381" t="s">
        <v>39</v>
      </c>
      <c r="O381">
        <v>1</v>
      </c>
    </row>
    <row r="382" spans="1:15" x14ac:dyDescent="0.3">
      <c r="A382" t="s">
        <v>427</v>
      </c>
      <c r="B382">
        <v>34</v>
      </c>
      <c r="C382" t="s">
        <v>23</v>
      </c>
      <c r="D382" t="s">
        <v>16</v>
      </c>
      <c r="E382" t="s">
        <v>31</v>
      </c>
      <c r="F382" t="s">
        <v>42</v>
      </c>
      <c r="G382">
        <v>6</v>
      </c>
      <c r="H382">
        <v>7</v>
      </c>
      <c r="I382" t="s">
        <v>19</v>
      </c>
      <c r="J382">
        <v>3.8</v>
      </c>
      <c r="K382" t="s">
        <v>19</v>
      </c>
      <c r="L382">
        <v>61000</v>
      </c>
      <c r="M382" t="s">
        <v>19</v>
      </c>
      <c r="N382" t="s">
        <v>39</v>
      </c>
      <c r="O382">
        <v>1</v>
      </c>
    </row>
    <row r="383" spans="1:15" x14ac:dyDescent="0.3">
      <c r="A383" t="s">
        <v>428</v>
      </c>
      <c r="B383">
        <v>31</v>
      </c>
      <c r="C383" t="s">
        <v>23</v>
      </c>
      <c r="D383" t="s">
        <v>24</v>
      </c>
      <c r="E383" t="s">
        <v>36</v>
      </c>
      <c r="F383" t="s">
        <v>37</v>
      </c>
      <c r="G383">
        <v>5</v>
      </c>
      <c r="H383">
        <v>6</v>
      </c>
      <c r="I383" t="s">
        <v>33</v>
      </c>
      <c r="J383">
        <v>3.5</v>
      </c>
      <c r="K383" t="s">
        <v>48</v>
      </c>
      <c r="L383">
        <v>59000</v>
      </c>
      <c r="M383" t="s">
        <v>29</v>
      </c>
      <c r="N383" t="s">
        <v>39</v>
      </c>
      <c r="O383">
        <v>1</v>
      </c>
    </row>
    <row r="384" spans="1:15" x14ac:dyDescent="0.3">
      <c r="A384" t="s">
        <v>429</v>
      </c>
      <c r="B384">
        <v>38</v>
      </c>
      <c r="C384" t="s">
        <v>44</v>
      </c>
      <c r="D384" t="s">
        <v>16</v>
      </c>
      <c r="E384" t="s">
        <v>45</v>
      </c>
      <c r="F384" t="s">
        <v>32</v>
      </c>
      <c r="G384">
        <v>7</v>
      </c>
      <c r="H384">
        <v>6</v>
      </c>
      <c r="I384" t="s">
        <v>33</v>
      </c>
      <c r="J384">
        <v>3.7</v>
      </c>
      <c r="K384" t="s">
        <v>19</v>
      </c>
      <c r="L384">
        <v>60000</v>
      </c>
      <c r="M384" t="s">
        <v>29</v>
      </c>
      <c r="N384" t="s">
        <v>39</v>
      </c>
      <c r="O384">
        <v>1</v>
      </c>
    </row>
    <row r="385" spans="1:15" x14ac:dyDescent="0.3">
      <c r="A385" t="s">
        <v>430</v>
      </c>
      <c r="B385">
        <v>33</v>
      </c>
      <c r="C385" t="s">
        <v>23</v>
      </c>
      <c r="D385" t="s">
        <v>24</v>
      </c>
      <c r="E385" t="s">
        <v>17</v>
      </c>
      <c r="F385" t="s">
        <v>26</v>
      </c>
      <c r="G385">
        <v>6</v>
      </c>
      <c r="H385">
        <v>7</v>
      </c>
      <c r="I385" t="s">
        <v>19</v>
      </c>
      <c r="J385">
        <v>4.0999999999999996</v>
      </c>
      <c r="K385" t="s">
        <v>28</v>
      </c>
      <c r="L385">
        <v>61000</v>
      </c>
      <c r="M385" t="s">
        <v>19</v>
      </c>
      <c r="N385" t="s">
        <v>39</v>
      </c>
      <c r="O385">
        <v>1</v>
      </c>
    </row>
    <row r="386" spans="1:15" x14ac:dyDescent="0.3">
      <c r="A386" t="s">
        <v>431</v>
      </c>
      <c r="B386">
        <v>29</v>
      </c>
      <c r="C386" t="s">
        <v>15</v>
      </c>
      <c r="D386" t="s">
        <v>16</v>
      </c>
      <c r="E386" t="s">
        <v>25</v>
      </c>
      <c r="F386" t="s">
        <v>37</v>
      </c>
      <c r="G386">
        <v>3</v>
      </c>
      <c r="H386">
        <v>5</v>
      </c>
      <c r="I386" t="s">
        <v>381</v>
      </c>
      <c r="J386">
        <v>3.9</v>
      </c>
      <c r="K386" t="s">
        <v>19</v>
      </c>
      <c r="L386">
        <v>63000</v>
      </c>
      <c r="M386" t="s">
        <v>19</v>
      </c>
      <c r="N386" t="s">
        <v>39</v>
      </c>
      <c r="O386">
        <v>1</v>
      </c>
    </row>
    <row r="387" spans="1:15" x14ac:dyDescent="0.3">
      <c r="A387" t="s">
        <v>432</v>
      </c>
      <c r="B387">
        <v>35</v>
      </c>
      <c r="C387" t="s">
        <v>23</v>
      </c>
      <c r="D387" t="s">
        <v>24</v>
      </c>
      <c r="E387" t="s">
        <v>31</v>
      </c>
      <c r="F387" t="s">
        <v>42</v>
      </c>
      <c r="G387">
        <v>6</v>
      </c>
      <c r="H387">
        <v>7</v>
      </c>
      <c r="I387" t="s">
        <v>19</v>
      </c>
      <c r="J387">
        <v>3.4</v>
      </c>
      <c r="K387" t="s">
        <v>48</v>
      </c>
      <c r="L387">
        <v>57000</v>
      </c>
      <c r="M387" t="s">
        <v>29</v>
      </c>
      <c r="N387" t="s">
        <v>39</v>
      </c>
      <c r="O387">
        <v>1</v>
      </c>
    </row>
    <row r="388" spans="1:15" x14ac:dyDescent="0.3">
      <c r="A388" t="s">
        <v>433</v>
      </c>
      <c r="B388">
        <v>37</v>
      </c>
      <c r="C388" t="s">
        <v>44</v>
      </c>
      <c r="D388" t="s">
        <v>16</v>
      </c>
      <c r="E388" t="s">
        <v>36</v>
      </c>
      <c r="F388" t="s">
        <v>37</v>
      </c>
      <c r="G388">
        <v>9</v>
      </c>
      <c r="H388">
        <v>6</v>
      </c>
      <c r="I388" t="s">
        <v>33</v>
      </c>
      <c r="J388">
        <v>3.6</v>
      </c>
      <c r="K388" t="s">
        <v>19</v>
      </c>
      <c r="L388">
        <v>56000</v>
      </c>
      <c r="M388" t="s">
        <v>29</v>
      </c>
      <c r="N388" t="s">
        <v>39</v>
      </c>
      <c r="O388">
        <v>1</v>
      </c>
    </row>
    <row r="389" spans="1:15" x14ac:dyDescent="0.3">
      <c r="A389" t="s">
        <v>434</v>
      </c>
      <c r="B389">
        <v>29</v>
      </c>
      <c r="C389" t="s">
        <v>15</v>
      </c>
      <c r="D389" t="s">
        <v>24</v>
      </c>
      <c r="E389" t="s">
        <v>45</v>
      </c>
      <c r="F389" t="s">
        <v>32</v>
      </c>
      <c r="G389">
        <v>3</v>
      </c>
      <c r="H389">
        <v>7</v>
      </c>
      <c r="I389" t="s">
        <v>19</v>
      </c>
      <c r="J389">
        <v>4.2</v>
      </c>
      <c r="K389" t="s">
        <v>28</v>
      </c>
      <c r="L389">
        <v>61000</v>
      </c>
      <c r="M389" t="s">
        <v>19</v>
      </c>
      <c r="N389" t="s">
        <v>39</v>
      </c>
      <c r="O389">
        <v>1</v>
      </c>
    </row>
    <row r="390" spans="1:15" x14ac:dyDescent="0.3">
      <c r="A390" t="s">
        <v>435</v>
      </c>
      <c r="B390">
        <v>31</v>
      </c>
      <c r="C390" t="s">
        <v>23</v>
      </c>
      <c r="D390" t="s">
        <v>16</v>
      </c>
      <c r="E390" t="s">
        <v>17</v>
      </c>
      <c r="F390" t="s">
        <v>26</v>
      </c>
      <c r="G390">
        <v>5</v>
      </c>
      <c r="H390">
        <v>6</v>
      </c>
      <c r="I390" t="s">
        <v>33</v>
      </c>
      <c r="J390">
        <v>3.8</v>
      </c>
      <c r="K390" t="s">
        <v>19</v>
      </c>
      <c r="L390">
        <v>62000</v>
      </c>
      <c r="M390" t="s">
        <v>19</v>
      </c>
      <c r="N390" t="s">
        <v>39</v>
      </c>
      <c r="O390">
        <v>1</v>
      </c>
    </row>
    <row r="391" spans="1:15" x14ac:dyDescent="0.3">
      <c r="A391" t="s">
        <v>436</v>
      </c>
      <c r="B391">
        <v>32</v>
      </c>
      <c r="C391" t="s">
        <v>23</v>
      </c>
      <c r="D391" t="s">
        <v>24</v>
      </c>
      <c r="E391" t="s">
        <v>25</v>
      </c>
      <c r="F391" t="s">
        <v>37</v>
      </c>
      <c r="G391">
        <v>4</v>
      </c>
      <c r="H391">
        <v>5</v>
      </c>
      <c r="I391" t="s">
        <v>381</v>
      </c>
      <c r="J391">
        <v>3.5</v>
      </c>
      <c r="K391" t="s">
        <v>48</v>
      </c>
      <c r="L391">
        <v>56000</v>
      </c>
      <c r="M391" t="s">
        <v>29</v>
      </c>
      <c r="N391" t="s">
        <v>39</v>
      </c>
      <c r="O391">
        <v>1</v>
      </c>
    </row>
    <row r="392" spans="1:15" x14ac:dyDescent="0.3">
      <c r="A392" t="s">
        <v>437</v>
      </c>
      <c r="B392">
        <v>34</v>
      </c>
      <c r="C392" t="s">
        <v>23</v>
      </c>
      <c r="D392" t="s">
        <v>16</v>
      </c>
      <c r="E392" t="s">
        <v>31</v>
      </c>
      <c r="F392" t="s">
        <v>42</v>
      </c>
      <c r="G392">
        <v>6</v>
      </c>
      <c r="H392">
        <v>7</v>
      </c>
      <c r="I392" t="s">
        <v>19</v>
      </c>
      <c r="J392">
        <v>4.2</v>
      </c>
      <c r="K392" t="s">
        <v>28</v>
      </c>
      <c r="L392">
        <v>61000</v>
      </c>
      <c r="M392" t="s">
        <v>19</v>
      </c>
      <c r="N392" t="s">
        <v>39</v>
      </c>
      <c r="O392">
        <v>1</v>
      </c>
    </row>
    <row r="393" spans="1:15" x14ac:dyDescent="0.3">
      <c r="A393" t="s">
        <v>438</v>
      </c>
      <c r="B393">
        <v>29</v>
      </c>
      <c r="C393" t="s">
        <v>15</v>
      </c>
      <c r="D393" t="s">
        <v>24</v>
      </c>
      <c r="E393" t="s">
        <v>36</v>
      </c>
      <c r="F393" t="s">
        <v>37</v>
      </c>
      <c r="G393">
        <v>3</v>
      </c>
      <c r="H393">
        <v>6</v>
      </c>
      <c r="I393" t="s">
        <v>33</v>
      </c>
      <c r="J393">
        <v>3.9</v>
      </c>
      <c r="K393" t="s">
        <v>19</v>
      </c>
      <c r="L393">
        <v>61000</v>
      </c>
      <c r="M393" t="s">
        <v>19</v>
      </c>
      <c r="N393" t="s">
        <v>39</v>
      </c>
      <c r="O393">
        <v>1</v>
      </c>
    </row>
    <row r="394" spans="1:15" x14ac:dyDescent="0.3">
      <c r="A394" t="s">
        <v>439</v>
      </c>
      <c r="B394">
        <v>36</v>
      </c>
      <c r="C394" t="s">
        <v>44</v>
      </c>
      <c r="D394" t="s">
        <v>16</v>
      </c>
      <c r="E394" t="s">
        <v>45</v>
      </c>
      <c r="F394" t="s">
        <v>32</v>
      </c>
      <c r="G394">
        <v>8</v>
      </c>
      <c r="H394">
        <v>7</v>
      </c>
      <c r="I394" t="s">
        <v>19</v>
      </c>
      <c r="J394">
        <v>3.7</v>
      </c>
      <c r="K394" t="s">
        <v>19</v>
      </c>
      <c r="L394">
        <v>60000</v>
      </c>
      <c r="M394" t="s">
        <v>29</v>
      </c>
      <c r="N394" t="s">
        <v>39</v>
      </c>
      <c r="O394">
        <v>1</v>
      </c>
    </row>
    <row r="395" spans="1:15" x14ac:dyDescent="0.3">
      <c r="A395" t="s">
        <v>440</v>
      </c>
      <c r="B395">
        <v>40</v>
      </c>
      <c r="C395" t="s">
        <v>44</v>
      </c>
      <c r="D395" t="s">
        <v>24</v>
      </c>
      <c r="E395" t="s">
        <v>17</v>
      </c>
      <c r="F395" t="s">
        <v>26</v>
      </c>
      <c r="G395">
        <v>11</v>
      </c>
      <c r="H395">
        <v>8</v>
      </c>
      <c r="I395" t="s">
        <v>27</v>
      </c>
      <c r="J395">
        <v>4.5999999999999996</v>
      </c>
      <c r="K395" t="s">
        <v>50</v>
      </c>
      <c r="L395">
        <v>67000</v>
      </c>
      <c r="M395" t="s">
        <v>19</v>
      </c>
      <c r="N395" t="s">
        <v>39</v>
      </c>
      <c r="O395">
        <v>1</v>
      </c>
    </row>
    <row r="396" spans="1:15" x14ac:dyDescent="0.3">
      <c r="A396" t="s">
        <v>441</v>
      </c>
      <c r="B396">
        <v>27</v>
      </c>
      <c r="C396" t="s">
        <v>15</v>
      </c>
      <c r="D396" t="s">
        <v>16</v>
      </c>
      <c r="E396" t="s">
        <v>25</v>
      </c>
      <c r="F396" t="s">
        <v>37</v>
      </c>
      <c r="G396">
        <v>2</v>
      </c>
      <c r="H396">
        <v>5</v>
      </c>
      <c r="I396" t="s">
        <v>381</v>
      </c>
      <c r="J396">
        <v>3.3</v>
      </c>
      <c r="K396" t="s">
        <v>48</v>
      </c>
      <c r="L396">
        <v>58000</v>
      </c>
      <c r="M396" t="s">
        <v>29</v>
      </c>
      <c r="N396" t="s">
        <v>39</v>
      </c>
      <c r="O396">
        <v>1</v>
      </c>
    </row>
    <row r="397" spans="1:15" x14ac:dyDescent="0.3">
      <c r="A397" t="s">
        <v>442</v>
      </c>
      <c r="B397">
        <v>34</v>
      </c>
      <c r="C397" t="s">
        <v>23</v>
      </c>
      <c r="D397" t="s">
        <v>24</v>
      </c>
      <c r="E397" t="s">
        <v>31</v>
      </c>
      <c r="F397" t="s">
        <v>42</v>
      </c>
      <c r="G397">
        <v>6</v>
      </c>
      <c r="H397">
        <v>7</v>
      </c>
      <c r="I397" t="s">
        <v>19</v>
      </c>
      <c r="J397">
        <v>3.8</v>
      </c>
      <c r="K397" t="s">
        <v>19</v>
      </c>
      <c r="L397">
        <v>61000</v>
      </c>
      <c r="M397" t="s">
        <v>19</v>
      </c>
      <c r="N397" t="s">
        <v>39</v>
      </c>
      <c r="O397">
        <v>1</v>
      </c>
    </row>
    <row r="398" spans="1:15" x14ac:dyDescent="0.3">
      <c r="A398" t="s">
        <v>443</v>
      </c>
      <c r="B398">
        <v>31</v>
      </c>
      <c r="C398" t="s">
        <v>23</v>
      </c>
      <c r="D398" t="s">
        <v>16</v>
      </c>
      <c r="E398" t="s">
        <v>36</v>
      </c>
      <c r="F398" t="s">
        <v>37</v>
      </c>
      <c r="G398">
        <v>5</v>
      </c>
      <c r="H398">
        <v>6</v>
      </c>
      <c r="I398" t="s">
        <v>33</v>
      </c>
      <c r="J398">
        <v>3.5</v>
      </c>
      <c r="K398" t="s">
        <v>48</v>
      </c>
      <c r="L398">
        <v>59000</v>
      </c>
      <c r="M398" t="s">
        <v>29</v>
      </c>
      <c r="N398" t="s">
        <v>39</v>
      </c>
      <c r="O398">
        <v>1</v>
      </c>
    </row>
    <row r="399" spans="1:15" x14ac:dyDescent="0.3">
      <c r="A399" t="s">
        <v>444</v>
      </c>
      <c r="B399">
        <v>38</v>
      </c>
      <c r="C399" t="s">
        <v>44</v>
      </c>
      <c r="D399" t="s">
        <v>24</v>
      </c>
      <c r="E399" t="s">
        <v>45</v>
      </c>
      <c r="F399" t="s">
        <v>32</v>
      </c>
      <c r="G399">
        <v>7</v>
      </c>
      <c r="H399">
        <v>6</v>
      </c>
      <c r="I399" t="s">
        <v>33</v>
      </c>
      <c r="J399">
        <v>3.7</v>
      </c>
      <c r="K399" t="s">
        <v>19</v>
      </c>
      <c r="L399">
        <v>60000</v>
      </c>
      <c r="M399" t="s">
        <v>29</v>
      </c>
      <c r="N399" t="s">
        <v>39</v>
      </c>
      <c r="O399">
        <v>1</v>
      </c>
    </row>
    <row r="400" spans="1:15" x14ac:dyDescent="0.3">
      <c r="A400" t="s">
        <v>445</v>
      </c>
      <c r="B400">
        <v>33</v>
      </c>
      <c r="C400" t="s">
        <v>23</v>
      </c>
      <c r="D400" t="s">
        <v>16</v>
      </c>
      <c r="E400" t="s">
        <v>17</v>
      </c>
      <c r="F400" t="s">
        <v>26</v>
      </c>
      <c r="G400">
        <v>6</v>
      </c>
      <c r="H400">
        <v>7</v>
      </c>
      <c r="I400" t="s">
        <v>19</v>
      </c>
      <c r="J400">
        <v>4.0999999999999996</v>
      </c>
      <c r="K400" t="s">
        <v>28</v>
      </c>
      <c r="L400">
        <v>61000</v>
      </c>
      <c r="M400" t="s">
        <v>19</v>
      </c>
      <c r="N400" t="s">
        <v>39</v>
      </c>
      <c r="O400">
        <v>1</v>
      </c>
    </row>
    <row r="401" spans="1:15" x14ac:dyDescent="0.3">
      <c r="A401" t="s">
        <v>446</v>
      </c>
      <c r="B401">
        <v>29</v>
      </c>
      <c r="C401" t="s">
        <v>15</v>
      </c>
      <c r="D401" t="s">
        <v>24</v>
      </c>
      <c r="E401" t="s">
        <v>25</v>
      </c>
      <c r="F401" t="s">
        <v>37</v>
      </c>
      <c r="G401">
        <v>3</v>
      </c>
      <c r="H401">
        <v>5</v>
      </c>
      <c r="I401" t="s">
        <v>381</v>
      </c>
      <c r="J401">
        <v>3.9</v>
      </c>
      <c r="K401" t="s">
        <v>19</v>
      </c>
      <c r="L401">
        <v>63000</v>
      </c>
      <c r="M401" t="s">
        <v>19</v>
      </c>
      <c r="N401" t="s">
        <v>39</v>
      </c>
      <c r="O401">
        <v>1</v>
      </c>
    </row>
    <row r="402" spans="1:15" x14ac:dyDescent="0.3">
      <c r="A402" t="s">
        <v>447</v>
      </c>
      <c r="B402">
        <v>31</v>
      </c>
      <c r="C402" t="s">
        <v>23</v>
      </c>
      <c r="D402" t="s">
        <v>16</v>
      </c>
      <c r="E402" t="s">
        <v>17</v>
      </c>
      <c r="F402" t="s">
        <v>18</v>
      </c>
      <c r="G402">
        <v>4</v>
      </c>
      <c r="H402">
        <v>6</v>
      </c>
      <c r="I402" t="s">
        <v>33</v>
      </c>
      <c r="J402">
        <v>3.6</v>
      </c>
      <c r="K402" t="s">
        <v>19</v>
      </c>
      <c r="L402">
        <v>60000</v>
      </c>
      <c r="M402" t="s">
        <v>29</v>
      </c>
      <c r="N402" t="s">
        <v>39</v>
      </c>
      <c r="O402">
        <v>1</v>
      </c>
    </row>
    <row r="403" spans="1:15" x14ac:dyDescent="0.3">
      <c r="A403" t="s">
        <v>448</v>
      </c>
      <c r="B403">
        <v>35</v>
      </c>
      <c r="C403" t="s">
        <v>23</v>
      </c>
      <c r="D403" t="s">
        <v>24</v>
      </c>
      <c r="E403" t="s">
        <v>31</v>
      </c>
      <c r="F403" t="s">
        <v>42</v>
      </c>
      <c r="G403">
        <v>7</v>
      </c>
      <c r="H403">
        <v>7</v>
      </c>
      <c r="I403" t="s">
        <v>19</v>
      </c>
      <c r="J403">
        <v>3.5</v>
      </c>
      <c r="K403" t="s">
        <v>48</v>
      </c>
      <c r="L403">
        <v>58000</v>
      </c>
      <c r="M403" t="s">
        <v>29</v>
      </c>
      <c r="N403" t="s">
        <v>39</v>
      </c>
      <c r="O403">
        <v>1</v>
      </c>
    </row>
    <row r="404" spans="1:15" x14ac:dyDescent="0.3">
      <c r="A404" t="s">
        <v>449</v>
      </c>
      <c r="B404">
        <v>28</v>
      </c>
      <c r="C404" t="s">
        <v>15</v>
      </c>
      <c r="D404" t="s">
        <v>16</v>
      </c>
      <c r="E404" t="s">
        <v>25</v>
      </c>
      <c r="F404" t="s">
        <v>37</v>
      </c>
      <c r="G404">
        <v>3</v>
      </c>
      <c r="H404">
        <v>5</v>
      </c>
      <c r="I404" t="s">
        <v>381</v>
      </c>
      <c r="J404">
        <v>3.8</v>
      </c>
      <c r="K404" t="s">
        <v>19</v>
      </c>
      <c r="L404">
        <v>70000</v>
      </c>
      <c r="M404" t="s">
        <v>19</v>
      </c>
      <c r="N404" t="s">
        <v>39</v>
      </c>
      <c r="O404">
        <v>1</v>
      </c>
    </row>
    <row r="405" spans="1:15" x14ac:dyDescent="0.3">
      <c r="A405" t="s">
        <v>450</v>
      </c>
      <c r="B405">
        <v>39</v>
      </c>
      <c r="C405" t="s">
        <v>44</v>
      </c>
      <c r="D405" t="s">
        <v>24</v>
      </c>
      <c r="E405" t="s">
        <v>36</v>
      </c>
      <c r="F405" t="s">
        <v>37</v>
      </c>
      <c r="G405">
        <v>9</v>
      </c>
      <c r="H405">
        <v>6</v>
      </c>
      <c r="I405" t="s">
        <v>33</v>
      </c>
      <c r="J405">
        <v>3.4</v>
      </c>
      <c r="K405" t="s">
        <v>48</v>
      </c>
      <c r="L405">
        <v>75000</v>
      </c>
      <c r="M405" t="s">
        <v>51</v>
      </c>
      <c r="N405" t="s">
        <v>39</v>
      </c>
      <c r="O405">
        <v>1</v>
      </c>
    </row>
    <row r="406" spans="1:15" x14ac:dyDescent="0.3">
      <c r="A406" t="s">
        <v>451</v>
      </c>
      <c r="B406">
        <v>40</v>
      </c>
      <c r="C406" t="s">
        <v>44</v>
      </c>
      <c r="D406" t="s">
        <v>16</v>
      </c>
      <c r="E406" t="s">
        <v>41</v>
      </c>
      <c r="F406" t="s">
        <v>42</v>
      </c>
      <c r="G406">
        <v>10</v>
      </c>
      <c r="H406">
        <v>7</v>
      </c>
      <c r="I406" t="s">
        <v>19</v>
      </c>
      <c r="J406">
        <v>4.0999999999999996</v>
      </c>
      <c r="K406" t="s">
        <v>28</v>
      </c>
      <c r="L406">
        <v>65000</v>
      </c>
      <c r="M406" t="s">
        <v>19</v>
      </c>
      <c r="N406" t="s">
        <v>39</v>
      </c>
      <c r="O406">
        <v>1</v>
      </c>
    </row>
    <row r="407" spans="1:15" x14ac:dyDescent="0.3">
      <c r="A407" t="s">
        <v>452</v>
      </c>
      <c r="B407">
        <v>27</v>
      </c>
      <c r="C407" t="s">
        <v>15</v>
      </c>
      <c r="D407" t="s">
        <v>24</v>
      </c>
      <c r="E407" t="s">
        <v>45</v>
      </c>
      <c r="F407" t="s">
        <v>32</v>
      </c>
      <c r="G407">
        <v>2</v>
      </c>
      <c r="H407">
        <v>5</v>
      </c>
      <c r="I407" t="s">
        <v>381</v>
      </c>
      <c r="J407">
        <v>3.7</v>
      </c>
      <c r="K407" t="s">
        <v>19</v>
      </c>
      <c r="L407">
        <v>55000</v>
      </c>
      <c r="M407" t="s">
        <v>29</v>
      </c>
      <c r="N407" t="s">
        <v>39</v>
      </c>
      <c r="O407">
        <v>1</v>
      </c>
    </row>
    <row r="408" spans="1:15" x14ac:dyDescent="0.3">
      <c r="A408" t="s">
        <v>453</v>
      </c>
      <c r="B408">
        <v>42</v>
      </c>
      <c r="C408" t="s">
        <v>35</v>
      </c>
      <c r="D408" t="s">
        <v>16</v>
      </c>
      <c r="E408" t="s">
        <v>17</v>
      </c>
      <c r="F408" t="s">
        <v>26</v>
      </c>
      <c r="G408">
        <v>11</v>
      </c>
      <c r="H408">
        <v>8</v>
      </c>
      <c r="I408" t="s">
        <v>27</v>
      </c>
      <c r="J408">
        <v>4</v>
      </c>
      <c r="K408" t="s">
        <v>19</v>
      </c>
      <c r="L408">
        <v>72000</v>
      </c>
      <c r="M408" t="s">
        <v>51</v>
      </c>
      <c r="N408" t="s">
        <v>39</v>
      </c>
      <c r="O408">
        <v>1</v>
      </c>
    </row>
    <row r="409" spans="1:15" x14ac:dyDescent="0.3">
      <c r="A409" t="s">
        <v>454</v>
      </c>
      <c r="B409">
        <v>29</v>
      </c>
      <c r="C409" t="s">
        <v>15</v>
      </c>
      <c r="D409" t="s">
        <v>24</v>
      </c>
      <c r="E409" t="s">
        <v>31</v>
      </c>
      <c r="F409" t="s">
        <v>42</v>
      </c>
      <c r="G409">
        <v>3</v>
      </c>
      <c r="H409">
        <v>7</v>
      </c>
      <c r="I409" t="s">
        <v>19</v>
      </c>
      <c r="J409">
        <v>3.9</v>
      </c>
      <c r="K409" t="s">
        <v>19</v>
      </c>
      <c r="L409">
        <v>68000</v>
      </c>
      <c r="M409" t="s">
        <v>19</v>
      </c>
      <c r="N409" t="s">
        <v>39</v>
      </c>
      <c r="O409">
        <v>1</v>
      </c>
    </row>
    <row r="410" spans="1:15" x14ac:dyDescent="0.3">
      <c r="A410" t="s">
        <v>455</v>
      </c>
      <c r="B410">
        <v>31</v>
      </c>
      <c r="C410" t="s">
        <v>23</v>
      </c>
      <c r="D410" t="s">
        <v>16</v>
      </c>
      <c r="E410" t="s">
        <v>36</v>
      </c>
      <c r="F410" t="s">
        <v>37</v>
      </c>
      <c r="G410">
        <v>5</v>
      </c>
      <c r="H410">
        <v>6</v>
      </c>
      <c r="I410" t="s">
        <v>33</v>
      </c>
      <c r="J410">
        <v>3.5</v>
      </c>
      <c r="K410" t="s">
        <v>48</v>
      </c>
      <c r="L410">
        <v>67000</v>
      </c>
      <c r="M410" t="s">
        <v>19</v>
      </c>
      <c r="N410" t="s">
        <v>39</v>
      </c>
      <c r="O410">
        <v>1</v>
      </c>
    </row>
    <row r="411" spans="1:15" x14ac:dyDescent="0.3">
      <c r="A411" t="s">
        <v>456</v>
      </c>
      <c r="B411">
        <v>33</v>
      </c>
      <c r="C411" t="s">
        <v>23</v>
      </c>
      <c r="D411" t="s">
        <v>24</v>
      </c>
      <c r="E411" t="s">
        <v>45</v>
      </c>
      <c r="F411" t="s">
        <v>32</v>
      </c>
      <c r="G411">
        <v>6</v>
      </c>
      <c r="H411">
        <v>6</v>
      </c>
      <c r="I411" t="s">
        <v>33</v>
      </c>
      <c r="J411">
        <v>3.8</v>
      </c>
      <c r="K411" t="s">
        <v>19</v>
      </c>
      <c r="L411">
        <v>42000</v>
      </c>
      <c r="M411" t="s">
        <v>20</v>
      </c>
      <c r="N411" t="s">
        <v>39</v>
      </c>
      <c r="O411">
        <v>1</v>
      </c>
    </row>
    <row r="412" spans="1:15" x14ac:dyDescent="0.3">
      <c r="A412" t="s">
        <v>457</v>
      </c>
      <c r="B412">
        <v>37</v>
      </c>
      <c r="C412" t="s">
        <v>44</v>
      </c>
      <c r="D412" t="s">
        <v>16</v>
      </c>
      <c r="E412" t="s">
        <v>25</v>
      </c>
      <c r="F412" t="s">
        <v>37</v>
      </c>
      <c r="G412">
        <v>7</v>
      </c>
      <c r="H412">
        <v>7</v>
      </c>
      <c r="I412" t="s">
        <v>19</v>
      </c>
      <c r="J412">
        <v>4.3</v>
      </c>
      <c r="K412" t="s">
        <v>28</v>
      </c>
      <c r="L412">
        <v>76000</v>
      </c>
      <c r="M412" t="s">
        <v>51</v>
      </c>
      <c r="N412" t="s">
        <v>39</v>
      </c>
      <c r="O412">
        <v>1</v>
      </c>
    </row>
    <row r="413" spans="1:15" x14ac:dyDescent="0.3">
      <c r="A413" t="s">
        <v>458</v>
      </c>
      <c r="B413">
        <v>28</v>
      </c>
      <c r="C413" t="s">
        <v>15</v>
      </c>
      <c r="D413" t="s">
        <v>24</v>
      </c>
      <c r="E413" t="s">
        <v>17</v>
      </c>
      <c r="F413" t="s">
        <v>18</v>
      </c>
      <c r="G413">
        <v>2</v>
      </c>
      <c r="H413">
        <v>5</v>
      </c>
      <c r="I413" t="s">
        <v>381</v>
      </c>
      <c r="J413">
        <v>3.2</v>
      </c>
      <c r="K413" t="s">
        <v>48</v>
      </c>
      <c r="L413">
        <v>48000</v>
      </c>
      <c r="M413" t="s">
        <v>20</v>
      </c>
      <c r="N413" t="s">
        <v>39</v>
      </c>
      <c r="O413">
        <v>1</v>
      </c>
    </row>
    <row r="414" spans="1:15" x14ac:dyDescent="0.3">
      <c r="A414" t="s">
        <v>459</v>
      </c>
      <c r="B414">
        <v>34</v>
      </c>
      <c r="C414" t="s">
        <v>23</v>
      </c>
      <c r="D414" t="s">
        <v>16</v>
      </c>
      <c r="E414" t="s">
        <v>36</v>
      </c>
      <c r="F414" t="s">
        <v>37</v>
      </c>
      <c r="G414">
        <v>6</v>
      </c>
      <c r="H414">
        <v>6</v>
      </c>
      <c r="I414" t="s">
        <v>33</v>
      </c>
      <c r="J414">
        <v>3.7</v>
      </c>
      <c r="K414" t="s">
        <v>19</v>
      </c>
      <c r="L414">
        <v>43000</v>
      </c>
      <c r="M414" t="s">
        <v>20</v>
      </c>
      <c r="N414" t="s">
        <v>39</v>
      </c>
      <c r="O414">
        <v>1</v>
      </c>
    </row>
    <row r="415" spans="1:15" x14ac:dyDescent="0.3">
      <c r="A415" t="s">
        <v>460</v>
      </c>
      <c r="B415">
        <v>36</v>
      </c>
      <c r="C415" t="s">
        <v>44</v>
      </c>
      <c r="D415" t="s">
        <v>24</v>
      </c>
      <c r="E415" t="s">
        <v>45</v>
      </c>
      <c r="F415" t="s">
        <v>32</v>
      </c>
      <c r="G415">
        <v>8</v>
      </c>
      <c r="H415">
        <v>7</v>
      </c>
      <c r="I415" t="s">
        <v>19</v>
      </c>
      <c r="J415">
        <v>4</v>
      </c>
      <c r="K415" t="s">
        <v>19</v>
      </c>
      <c r="L415">
        <v>64000</v>
      </c>
      <c r="M415" t="s">
        <v>19</v>
      </c>
      <c r="N415" t="s">
        <v>39</v>
      </c>
      <c r="O415">
        <v>1</v>
      </c>
    </row>
    <row r="416" spans="1:15" x14ac:dyDescent="0.3">
      <c r="A416" t="s">
        <v>461</v>
      </c>
      <c r="B416">
        <v>30</v>
      </c>
      <c r="C416" t="s">
        <v>15</v>
      </c>
      <c r="D416" t="s">
        <v>16</v>
      </c>
      <c r="E416" t="s">
        <v>17</v>
      </c>
      <c r="F416" t="s">
        <v>26</v>
      </c>
      <c r="G416">
        <v>5</v>
      </c>
      <c r="H416">
        <v>6</v>
      </c>
      <c r="I416" t="s">
        <v>33</v>
      </c>
      <c r="J416">
        <v>3.9</v>
      </c>
      <c r="K416" t="s">
        <v>19</v>
      </c>
      <c r="L416">
        <v>70000</v>
      </c>
      <c r="M416" t="s">
        <v>19</v>
      </c>
      <c r="N416" t="s">
        <v>39</v>
      </c>
      <c r="O416">
        <v>1</v>
      </c>
    </row>
    <row r="417" spans="1:15" x14ac:dyDescent="0.3">
      <c r="A417" t="s">
        <v>462</v>
      </c>
      <c r="B417">
        <v>31</v>
      </c>
      <c r="C417" t="s">
        <v>23</v>
      </c>
      <c r="D417" t="s">
        <v>24</v>
      </c>
      <c r="E417" t="s">
        <v>25</v>
      </c>
      <c r="F417" t="s">
        <v>37</v>
      </c>
      <c r="G417">
        <v>4</v>
      </c>
      <c r="H417">
        <v>5</v>
      </c>
      <c r="I417" t="s">
        <v>381</v>
      </c>
      <c r="J417">
        <v>3.5</v>
      </c>
      <c r="K417" t="s">
        <v>48</v>
      </c>
      <c r="L417">
        <v>75000</v>
      </c>
      <c r="M417" t="s">
        <v>51</v>
      </c>
      <c r="N417" t="s">
        <v>39</v>
      </c>
      <c r="O417">
        <v>1</v>
      </c>
    </row>
    <row r="418" spans="1:15" x14ac:dyDescent="0.3">
      <c r="A418" t="s">
        <v>463</v>
      </c>
      <c r="B418">
        <v>29</v>
      </c>
      <c r="C418" t="s">
        <v>15</v>
      </c>
      <c r="D418" t="s">
        <v>16</v>
      </c>
      <c r="E418" t="s">
        <v>31</v>
      </c>
      <c r="F418" t="s">
        <v>42</v>
      </c>
      <c r="G418">
        <v>3</v>
      </c>
      <c r="H418">
        <v>7</v>
      </c>
      <c r="I418" t="s">
        <v>19</v>
      </c>
      <c r="J418">
        <v>3.4</v>
      </c>
      <c r="K418" t="s">
        <v>48</v>
      </c>
      <c r="L418">
        <v>59000</v>
      </c>
      <c r="M418" t="s">
        <v>29</v>
      </c>
      <c r="N418" t="s">
        <v>39</v>
      </c>
      <c r="O418">
        <v>1</v>
      </c>
    </row>
    <row r="419" spans="1:15" x14ac:dyDescent="0.3">
      <c r="A419" t="s">
        <v>464</v>
      </c>
      <c r="B419">
        <v>40</v>
      </c>
      <c r="C419" t="s">
        <v>44</v>
      </c>
      <c r="D419" t="s">
        <v>24</v>
      </c>
      <c r="E419" t="s">
        <v>36</v>
      </c>
      <c r="F419" t="s">
        <v>37</v>
      </c>
      <c r="G419">
        <v>8</v>
      </c>
      <c r="H419">
        <v>6</v>
      </c>
      <c r="I419" t="s">
        <v>33</v>
      </c>
      <c r="J419">
        <v>3.7</v>
      </c>
      <c r="K419" t="s">
        <v>19</v>
      </c>
      <c r="L419">
        <v>55000</v>
      </c>
      <c r="M419" t="s">
        <v>29</v>
      </c>
      <c r="N419" t="s">
        <v>39</v>
      </c>
      <c r="O419">
        <v>1</v>
      </c>
    </row>
    <row r="420" spans="1:15" x14ac:dyDescent="0.3">
      <c r="A420" t="s">
        <v>465</v>
      </c>
      <c r="B420">
        <v>45</v>
      </c>
      <c r="C420" t="s">
        <v>35</v>
      </c>
      <c r="D420" t="s">
        <v>16</v>
      </c>
      <c r="E420" t="s">
        <v>41</v>
      </c>
      <c r="F420" t="s">
        <v>42</v>
      </c>
      <c r="G420">
        <v>11</v>
      </c>
      <c r="H420">
        <v>7</v>
      </c>
      <c r="I420" t="s">
        <v>19</v>
      </c>
      <c r="J420">
        <v>4.0999999999999996</v>
      </c>
      <c r="K420" t="s">
        <v>28</v>
      </c>
      <c r="L420">
        <v>60000</v>
      </c>
      <c r="M420" t="s">
        <v>29</v>
      </c>
      <c r="N420" t="s">
        <v>39</v>
      </c>
      <c r="O420">
        <v>1</v>
      </c>
    </row>
    <row r="421" spans="1:15" x14ac:dyDescent="0.3">
      <c r="A421" t="s">
        <v>466</v>
      </c>
      <c r="B421">
        <v>32</v>
      </c>
      <c r="C421" t="s">
        <v>23</v>
      </c>
      <c r="D421" t="s">
        <v>24</v>
      </c>
      <c r="E421" t="s">
        <v>31</v>
      </c>
      <c r="F421" t="s">
        <v>42</v>
      </c>
      <c r="G421">
        <v>4</v>
      </c>
      <c r="H421">
        <v>5</v>
      </c>
      <c r="I421" t="s">
        <v>381</v>
      </c>
      <c r="J421">
        <v>3.8</v>
      </c>
      <c r="K421" t="s">
        <v>19</v>
      </c>
      <c r="L421">
        <v>73000</v>
      </c>
      <c r="M421" t="s">
        <v>51</v>
      </c>
      <c r="N421" t="s">
        <v>39</v>
      </c>
      <c r="O421">
        <v>1</v>
      </c>
    </row>
    <row r="422" spans="1:15" x14ac:dyDescent="0.3">
      <c r="A422" t="s">
        <v>467</v>
      </c>
      <c r="B422">
        <v>29</v>
      </c>
      <c r="C422" t="s">
        <v>15</v>
      </c>
      <c r="D422" t="s">
        <v>16</v>
      </c>
      <c r="E422" t="s">
        <v>36</v>
      </c>
      <c r="F422" t="s">
        <v>37</v>
      </c>
      <c r="G422">
        <v>4</v>
      </c>
      <c r="H422">
        <v>6</v>
      </c>
      <c r="I422" t="s">
        <v>33</v>
      </c>
      <c r="J422">
        <v>3.5</v>
      </c>
      <c r="K422" t="s">
        <v>48</v>
      </c>
      <c r="L422">
        <v>49000</v>
      </c>
      <c r="M422" t="s">
        <v>20</v>
      </c>
      <c r="N422" t="s">
        <v>39</v>
      </c>
      <c r="O422">
        <v>1</v>
      </c>
    </row>
    <row r="423" spans="1:15" x14ac:dyDescent="0.3">
      <c r="A423" t="s">
        <v>468</v>
      </c>
      <c r="B423">
        <v>33</v>
      </c>
      <c r="C423" t="s">
        <v>23</v>
      </c>
      <c r="D423" t="s">
        <v>24</v>
      </c>
      <c r="E423" t="s">
        <v>45</v>
      </c>
      <c r="F423" t="s">
        <v>32</v>
      </c>
      <c r="G423">
        <v>6</v>
      </c>
      <c r="H423">
        <v>6</v>
      </c>
      <c r="I423" t="s">
        <v>33</v>
      </c>
      <c r="J423">
        <v>3.8</v>
      </c>
      <c r="K423" t="s">
        <v>19</v>
      </c>
      <c r="L423">
        <v>41000</v>
      </c>
      <c r="M423" t="s">
        <v>20</v>
      </c>
      <c r="N423" t="s">
        <v>39</v>
      </c>
      <c r="O423">
        <v>1</v>
      </c>
    </row>
    <row r="424" spans="1:15" x14ac:dyDescent="0.3">
      <c r="A424" t="s">
        <v>469</v>
      </c>
      <c r="B424">
        <v>37</v>
      </c>
      <c r="C424" t="s">
        <v>44</v>
      </c>
      <c r="D424" t="s">
        <v>16</v>
      </c>
      <c r="E424" t="s">
        <v>25</v>
      </c>
      <c r="F424" t="s">
        <v>37</v>
      </c>
      <c r="G424">
        <v>7</v>
      </c>
      <c r="H424">
        <v>7</v>
      </c>
      <c r="I424" t="s">
        <v>19</v>
      </c>
      <c r="J424">
        <v>4.3</v>
      </c>
      <c r="K424" t="s">
        <v>28</v>
      </c>
      <c r="L424">
        <v>60000</v>
      </c>
      <c r="M424" t="s">
        <v>29</v>
      </c>
      <c r="N424" t="s">
        <v>39</v>
      </c>
      <c r="O424">
        <v>1</v>
      </c>
    </row>
    <row r="425" spans="1:15" x14ac:dyDescent="0.3">
      <c r="A425" t="s">
        <v>470</v>
      </c>
      <c r="B425">
        <v>28</v>
      </c>
      <c r="C425" t="s">
        <v>15</v>
      </c>
      <c r="D425" t="s">
        <v>24</v>
      </c>
      <c r="E425" t="s">
        <v>17</v>
      </c>
      <c r="F425" t="s">
        <v>18</v>
      </c>
      <c r="G425">
        <v>2</v>
      </c>
      <c r="H425">
        <v>5</v>
      </c>
      <c r="I425" t="s">
        <v>381</v>
      </c>
      <c r="J425">
        <v>3.2</v>
      </c>
      <c r="K425" t="s">
        <v>48</v>
      </c>
      <c r="L425">
        <v>78000</v>
      </c>
      <c r="M425" t="s">
        <v>51</v>
      </c>
      <c r="N425" t="s">
        <v>39</v>
      </c>
      <c r="O425">
        <v>1</v>
      </c>
    </row>
    <row r="426" spans="1:15" x14ac:dyDescent="0.3">
      <c r="A426" t="s">
        <v>471</v>
      </c>
      <c r="B426">
        <v>34</v>
      </c>
      <c r="C426" t="s">
        <v>23</v>
      </c>
      <c r="D426" t="s">
        <v>16</v>
      </c>
      <c r="E426" t="s">
        <v>36</v>
      </c>
      <c r="F426" t="s">
        <v>37</v>
      </c>
      <c r="G426">
        <v>6</v>
      </c>
      <c r="H426">
        <v>6</v>
      </c>
      <c r="I426" t="s">
        <v>33</v>
      </c>
      <c r="J426">
        <v>3.7</v>
      </c>
      <c r="K426" t="s">
        <v>19</v>
      </c>
      <c r="L426">
        <v>64000</v>
      </c>
      <c r="M426" t="s">
        <v>19</v>
      </c>
      <c r="N426" t="s">
        <v>39</v>
      </c>
      <c r="O426">
        <v>1</v>
      </c>
    </row>
    <row r="427" spans="1:15" x14ac:dyDescent="0.3">
      <c r="A427" t="s">
        <v>472</v>
      </c>
      <c r="B427">
        <v>36</v>
      </c>
      <c r="C427" t="s">
        <v>44</v>
      </c>
      <c r="D427" t="s">
        <v>24</v>
      </c>
      <c r="E427" t="s">
        <v>45</v>
      </c>
      <c r="F427" t="s">
        <v>32</v>
      </c>
      <c r="G427">
        <v>8</v>
      </c>
      <c r="H427">
        <v>7</v>
      </c>
      <c r="I427" t="s">
        <v>19</v>
      </c>
      <c r="J427">
        <v>4</v>
      </c>
      <c r="K427" t="s">
        <v>19</v>
      </c>
      <c r="L427">
        <v>43000</v>
      </c>
      <c r="M427" t="s">
        <v>20</v>
      </c>
      <c r="N427" t="s">
        <v>39</v>
      </c>
      <c r="O427">
        <v>1</v>
      </c>
    </row>
    <row r="428" spans="1:15" x14ac:dyDescent="0.3">
      <c r="A428" t="s">
        <v>473</v>
      </c>
      <c r="B428">
        <v>30</v>
      </c>
      <c r="C428" t="s">
        <v>15</v>
      </c>
      <c r="D428" t="s">
        <v>16</v>
      </c>
      <c r="E428" t="s">
        <v>17</v>
      </c>
      <c r="F428" t="s">
        <v>26</v>
      </c>
      <c r="G428">
        <v>5</v>
      </c>
      <c r="H428">
        <v>6</v>
      </c>
      <c r="I428" t="s">
        <v>33</v>
      </c>
      <c r="J428">
        <v>3.9</v>
      </c>
      <c r="K428" t="s">
        <v>19</v>
      </c>
      <c r="L428">
        <v>48000</v>
      </c>
      <c r="M428" t="s">
        <v>20</v>
      </c>
      <c r="N428" t="s">
        <v>39</v>
      </c>
      <c r="O428">
        <v>1</v>
      </c>
    </row>
    <row r="429" spans="1:15" x14ac:dyDescent="0.3">
      <c r="A429" t="s">
        <v>474</v>
      </c>
      <c r="B429">
        <v>31</v>
      </c>
      <c r="C429" t="s">
        <v>23</v>
      </c>
      <c r="D429" t="s">
        <v>24</v>
      </c>
      <c r="E429" t="s">
        <v>25</v>
      </c>
      <c r="F429" t="s">
        <v>37</v>
      </c>
      <c r="G429">
        <v>4</v>
      </c>
      <c r="H429">
        <v>5</v>
      </c>
      <c r="I429" t="s">
        <v>381</v>
      </c>
      <c r="J429">
        <v>3.5</v>
      </c>
      <c r="K429" t="s">
        <v>48</v>
      </c>
      <c r="L429">
        <v>75000</v>
      </c>
      <c r="M429" t="s">
        <v>51</v>
      </c>
      <c r="N429" t="s">
        <v>39</v>
      </c>
      <c r="O429">
        <v>1</v>
      </c>
    </row>
    <row r="430" spans="1:15" x14ac:dyDescent="0.3">
      <c r="A430" t="s">
        <v>475</v>
      </c>
      <c r="B430">
        <v>29</v>
      </c>
      <c r="C430" t="s">
        <v>15</v>
      </c>
      <c r="D430" t="s">
        <v>16</v>
      </c>
      <c r="E430" t="s">
        <v>31</v>
      </c>
      <c r="F430" t="s">
        <v>42</v>
      </c>
      <c r="G430">
        <v>3</v>
      </c>
      <c r="H430">
        <v>7</v>
      </c>
      <c r="I430" t="s">
        <v>19</v>
      </c>
      <c r="J430">
        <v>3.4</v>
      </c>
      <c r="K430" t="s">
        <v>48</v>
      </c>
      <c r="L430">
        <v>60000</v>
      </c>
      <c r="M430" t="s">
        <v>29</v>
      </c>
      <c r="N430" t="s">
        <v>39</v>
      </c>
      <c r="O430">
        <v>1</v>
      </c>
    </row>
    <row r="431" spans="1:15" x14ac:dyDescent="0.3">
      <c r="A431" t="s">
        <v>476</v>
      </c>
      <c r="B431">
        <v>40</v>
      </c>
      <c r="C431" t="s">
        <v>44</v>
      </c>
      <c r="D431" t="s">
        <v>24</v>
      </c>
      <c r="E431" t="s">
        <v>36</v>
      </c>
      <c r="F431" t="s">
        <v>37</v>
      </c>
      <c r="G431">
        <v>8</v>
      </c>
      <c r="H431">
        <v>6</v>
      </c>
      <c r="I431" t="s">
        <v>33</v>
      </c>
      <c r="J431">
        <v>3.7</v>
      </c>
      <c r="K431" t="s">
        <v>19</v>
      </c>
      <c r="L431">
        <v>57000</v>
      </c>
      <c r="M431" t="s">
        <v>29</v>
      </c>
      <c r="N431" t="s">
        <v>39</v>
      </c>
      <c r="O431">
        <v>1</v>
      </c>
    </row>
    <row r="432" spans="1:15" x14ac:dyDescent="0.3">
      <c r="A432" t="s">
        <v>477</v>
      </c>
      <c r="B432">
        <v>45</v>
      </c>
      <c r="C432" t="s">
        <v>35</v>
      </c>
      <c r="D432" t="s">
        <v>16</v>
      </c>
      <c r="E432" t="s">
        <v>41</v>
      </c>
      <c r="F432" t="s">
        <v>42</v>
      </c>
      <c r="G432">
        <v>11</v>
      </c>
      <c r="H432">
        <v>7</v>
      </c>
      <c r="I432" t="s">
        <v>19</v>
      </c>
      <c r="J432">
        <v>4.0999999999999996</v>
      </c>
      <c r="K432" t="s">
        <v>28</v>
      </c>
      <c r="L432">
        <v>65000</v>
      </c>
      <c r="M432" t="s">
        <v>19</v>
      </c>
      <c r="N432" t="s">
        <v>39</v>
      </c>
      <c r="O432">
        <v>1</v>
      </c>
    </row>
    <row r="433" spans="1:15" x14ac:dyDescent="0.3">
      <c r="A433" t="s">
        <v>478</v>
      </c>
      <c r="B433">
        <v>32</v>
      </c>
      <c r="C433" t="s">
        <v>23</v>
      </c>
      <c r="D433" t="s">
        <v>24</v>
      </c>
      <c r="E433" t="s">
        <v>31</v>
      </c>
      <c r="F433" t="s">
        <v>42</v>
      </c>
      <c r="G433">
        <v>4</v>
      </c>
      <c r="H433">
        <v>5</v>
      </c>
      <c r="I433" t="s">
        <v>381</v>
      </c>
      <c r="J433">
        <v>3.8</v>
      </c>
      <c r="K433" t="s">
        <v>19</v>
      </c>
      <c r="L433">
        <v>59000</v>
      </c>
      <c r="M433" t="s">
        <v>29</v>
      </c>
      <c r="N433" t="s">
        <v>39</v>
      </c>
      <c r="O433">
        <v>1</v>
      </c>
    </row>
    <row r="434" spans="1:15" x14ac:dyDescent="0.3">
      <c r="A434" t="s">
        <v>479</v>
      </c>
      <c r="B434">
        <v>29</v>
      </c>
      <c r="C434" t="s">
        <v>15</v>
      </c>
      <c r="D434" t="s">
        <v>16</v>
      </c>
      <c r="E434" t="s">
        <v>36</v>
      </c>
      <c r="F434" t="s">
        <v>37</v>
      </c>
      <c r="G434">
        <v>4</v>
      </c>
      <c r="H434">
        <v>6</v>
      </c>
      <c r="I434" t="s">
        <v>33</v>
      </c>
      <c r="J434">
        <v>3.5</v>
      </c>
      <c r="K434" t="s">
        <v>48</v>
      </c>
      <c r="L434">
        <v>75000</v>
      </c>
      <c r="M434" t="s">
        <v>51</v>
      </c>
      <c r="N434" t="s">
        <v>39</v>
      </c>
      <c r="O434">
        <v>1</v>
      </c>
    </row>
    <row r="435" spans="1:15" x14ac:dyDescent="0.3">
      <c r="A435" t="s">
        <v>480</v>
      </c>
      <c r="B435">
        <v>33</v>
      </c>
      <c r="C435" t="s">
        <v>23</v>
      </c>
      <c r="D435" t="s">
        <v>24</v>
      </c>
      <c r="E435" t="s">
        <v>45</v>
      </c>
      <c r="F435" t="s">
        <v>32</v>
      </c>
      <c r="G435">
        <v>6</v>
      </c>
      <c r="H435">
        <v>6</v>
      </c>
      <c r="I435" t="s">
        <v>33</v>
      </c>
      <c r="J435">
        <v>3.8</v>
      </c>
      <c r="K435" t="s">
        <v>19</v>
      </c>
      <c r="L435">
        <v>42000</v>
      </c>
      <c r="M435" t="s">
        <v>20</v>
      </c>
      <c r="N435" t="s">
        <v>39</v>
      </c>
      <c r="O435">
        <v>1</v>
      </c>
    </row>
    <row r="436" spans="1:15" x14ac:dyDescent="0.3">
      <c r="A436" t="s">
        <v>481</v>
      </c>
      <c r="B436">
        <v>37</v>
      </c>
      <c r="C436" t="s">
        <v>44</v>
      </c>
      <c r="D436" t="s">
        <v>16</v>
      </c>
      <c r="E436" t="s">
        <v>25</v>
      </c>
      <c r="F436" t="s">
        <v>37</v>
      </c>
      <c r="G436">
        <v>7</v>
      </c>
      <c r="H436">
        <v>7</v>
      </c>
      <c r="I436" t="s">
        <v>19</v>
      </c>
      <c r="J436">
        <v>4.3</v>
      </c>
      <c r="K436" t="s">
        <v>28</v>
      </c>
      <c r="L436">
        <v>76000</v>
      </c>
      <c r="M436" t="s">
        <v>51</v>
      </c>
      <c r="N436" t="s">
        <v>39</v>
      </c>
      <c r="O436">
        <v>1</v>
      </c>
    </row>
    <row r="437" spans="1:15" x14ac:dyDescent="0.3">
      <c r="A437" t="s">
        <v>482</v>
      </c>
      <c r="B437">
        <v>28</v>
      </c>
      <c r="C437" t="s">
        <v>15</v>
      </c>
      <c r="D437" t="s">
        <v>24</v>
      </c>
      <c r="E437" t="s">
        <v>17</v>
      </c>
      <c r="F437" t="s">
        <v>18</v>
      </c>
      <c r="G437">
        <v>2</v>
      </c>
      <c r="H437">
        <v>5</v>
      </c>
      <c r="I437" t="s">
        <v>381</v>
      </c>
      <c r="J437">
        <v>3.2</v>
      </c>
      <c r="K437" t="s">
        <v>48</v>
      </c>
      <c r="L437">
        <v>58000</v>
      </c>
      <c r="M437" t="s">
        <v>29</v>
      </c>
      <c r="N437" t="s">
        <v>39</v>
      </c>
      <c r="O437">
        <v>1</v>
      </c>
    </row>
    <row r="438" spans="1:15" x14ac:dyDescent="0.3">
      <c r="A438" t="s">
        <v>483</v>
      </c>
      <c r="B438">
        <v>34</v>
      </c>
      <c r="C438" t="s">
        <v>23</v>
      </c>
      <c r="D438" t="s">
        <v>16</v>
      </c>
      <c r="E438" t="s">
        <v>36</v>
      </c>
      <c r="F438" t="s">
        <v>37</v>
      </c>
      <c r="G438">
        <v>6</v>
      </c>
      <c r="H438">
        <v>6</v>
      </c>
      <c r="I438" t="s">
        <v>33</v>
      </c>
      <c r="J438">
        <v>3.7</v>
      </c>
      <c r="K438" t="s">
        <v>19</v>
      </c>
      <c r="L438">
        <v>70000</v>
      </c>
      <c r="M438" t="s">
        <v>19</v>
      </c>
      <c r="N438" t="s">
        <v>39</v>
      </c>
      <c r="O438">
        <v>1</v>
      </c>
    </row>
    <row r="439" spans="1:15" x14ac:dyDescent="0.3">
      <c r="A439" t="s">
        <v>484</v>
      </c>
      <c r="B439">
        <v>36</v>
      </c>
      <c r="C439" t="s">
        <v>44</v>
      </c>
      <c r="D439" t="s">
        <v>24</v>
      </c>
      <c r="E439" t="s">
        <v>45</v>
      </c>
      <c r="F439" t="s">
        <v>32</v>
      </c>
      <c r="G439">
        <v>8</v>
      </c>
      <c r="H439">
        <v>7</v>
      </c>
      <c r="I439" t="s">
        <v>19</v>
      </c>
      <c r="J439">
        <v>4</v>
      </c>
      <c r="K439" t="s">
        <v>19</v>
      </c>
      <c r="L439">
        <v>60000</v>
      </c>
      <c r="M439" t="s">
        <v>29</v>
      </c>
      <c r="N439" t="s">
        <v>39</v>
      </c>
      <c r="O439">
        <v>1</v>
      </c>
    </row>
    <row r="440" spans="1:15" x14ac:dyDescent="0.3">
      <c r="A440" t="s">
        <v>485</v>
      </c>
      <c r="B440">
        <v>30</v>
      </c>
      <c r="C440" t="s">
        <v>15</v>
      </c>
      <c r="D440" t="s">
        <v>16</v>
      </c>
      <c r="E440" t="s">
        <v>17</v>
      </c>
      <c r="F440" t="s">
        <v>26</v>
      </c>
      <c r="G440">
        <v>5</v>
      </c>
      <c r="H440">
        <v>6</v>
      </c>
      <c r="I440" t="s">
        <v>33</v>
      </c>
      <c r="J440">
        <v>3.9</v>
      </c>
      <c r="K440" t="s">
        <v>19</v>
      </c>
      <c r="L440">
        <v>65000</v>
      </c>
      <c r="M440" t="s">
        <v>19</v>
      </c>
      <c r="N440" t="s">
        <v>39</v>
      </c>
      <c r="O440">
        <v>1</v>
      </c>
    </row>
    <row r="441" spans="1:15" x14ac:dyDescent="0.3">
      <c r="A441" t="s">
        <v>486</v>
      </c>
      <c r="B441">
        <v>31</v>
      </c>
      <c r="C441" t="s">
        <v>23</v>
      </c>
      <c r="D441" t="s">
        <v>24</v>
      </c>
      <c r="E441" t="s">
        <v>25</v>
      </c>
      <c r="F441" t="s">
        <v>37</v>
      </c>
      <c r="G441">
        <v>4</v>
      </c>
      <c r="H441">
        <v>5</v>
      </c>
      <c r="I441" t="s">
        <v>381</v>
      </c>
      <c r="J441">
        <v>3.5</v>
      </c>
      <c r="K441" t="s">
        <v>48</v>
      </c>
      <c r="L441">
        <v>59000</v>
      </c>
      <c r="M441" t="s">
        <v>29</v>
      </c>
      <c r="N441" t="s">
        <v>39</v>
      </c>
      <c r="O441">
        <v>1</v>
      </c>
    </row>
    <row r="442" spans="1:15" x14ac:dyDescent="0.3">
      <c r="A442" t="s">
        <v>487</v>
      </c>
      <c r="B442">
        <v>29</v>
      </c>
      <c r="C442" t="s">
        <v>15</v>
      </c>
      <c r="D442" t="s">
        <v>16</v>
      </c>
      <c r="E442" t="s">
        <v>31</v>
      </c>
      <c r="F442" t="s">
        <v>42</v>
      </c>
      <c r="G442">
        <v>3</v>
      </c>
      <c r="H442">
        <v>7</v>
      </c>
      <c r="I442" t="s">
        <v>19</v>
      </c>
      <c r="J442">
        <v>3.4</v>
      </c>
      <c r="K442" t="s">
        <v>48</v>
      </c>
      <c r="L442">
        <v>62000</v>
      </c>
      <c r="M442" t="s">
        <v>19</v>
      </c>
      <c r="N442" t="s">
        <v>39</v>
      </c>
      <c r="O442">
        <v>1</v>
      </c>
    </row>
    <row r="443" spans="1:15" x14ac:dyDescent="0.3">
      <c r="A443" t="s">
        <v>488</v>
      </c>
      <c r="B443">
        <v>40</v>
      </c>
      <c r="C443" t="s">
        <v>44</v>
      </c>
      <c r="D443" t="s">
        <v>24</v>
      </c>
      <c r="E443" t="s">
        <v>36</v>
      </c>
      <c r="F443" t="s">
        <v>37</v>
      </c>
      <c r="G443">
        <v>8</v>
      </c>
      <c r="H443">
        <v>6</v>
      </c>
      <c r="I443" t="s">
        <v>33</v>
      </c>
      <c r="J443">
        <v>3.7</v>
      </c>
      <c r="K443" t="s">
        <v>19</v>
      </c>
      <c r="L443">
        <v>48000</v>
      </c>
      <c r="M443" t="s">
        <v>20</v>
      </c>
      <c r="N443" t="s">
        <v>39</v>
      </c>
      <c r="O443">
        <v>1</v>
      </c>
    </row>
    <row r="444" spans="1:15" x14ac:dyDescent="0.3">
      <c r="A444" t="s">
        <v>489</v>
      </c>
      <c r="B444">
        <v>45</v>
      </c>
      <c r="C444" t="s">
        <v>35</v>
      </c>
      <c r="D444" t="s">
        <v>16</v>
      </c>
      <c r="E444" t="s">
        <v>41</v>
      </c>
      <c r="F444" t="s">
        <v>42</v>
      </c>
      <c r="G444">
        <v>11</v>
      </c>
      <c r="H444">
        <v>7</v>
      </c>
      <c r="I444" t="s">
        <v>19</v>
      </c>
      <c r="J444">
        <v>4.0999999999999996</v>
      </c>
      <c r="K444" t="s">
        <v>28</v>
      </c>
      <c r="L444">
        <v>57000</v>
      </c>
      <c r="M444" t="s">
        <v>29</v>
      </c>
      <c r="N444" t="s">
        <v>39</v>
      </c>
      <c r="O444">
        <v>1</v>
      </c>
    </row>
    <row r="445" spans="1:15" x14ac:dyDescent="0.3">
      <c r="A445" t="s">
        <v>490</v>
      </c>
      <c r="B445">
        <v>32</v>
      </c>
      <c r="C445" t="s">
        <v>23</v>
      </c>
      <c r="D445" t="s">
        <v>24</v>
      </c>
      <c r="E445" t="s">
        <v>31</v>
      </c>
      <c r="F445" t="s">
        <v>42</v>
      </c>
      <c r="G445">
        <v>4</v>
      </c>
      <c r="H445">
        <v>5</v>
      </c>
      <c r="I445" t="s">
        <v>381</v>
      </c>
      <c r="J445">
        <v>3.8</v>
      </c>
      <c r="K445" t="s">
        <v>19</v>
      </c>
      <c r="L445">
        <v>70000</v>
      </c>
      <c r="M445" t="s">
        <v>19</v>
      </c>
      <c r="N445" t="s">
        <v>39</v>
      </c>
      <c r="O445">
        <v>1</v>
      </c>
    </row>
    <row r="446" spans="1:15" x14ac:dyDescent="0.3">
      <c r="A446" t="s">
        <v>491</v>
      </c>
      <c r="B446">
        <v>29</v>
      </c>
      <c r="C446" t="s">
        <v>15</v>
      </c>
      <c r="D446" t="s">
        <v>16</v>
      </c>
      <c r="E446" t="s">
        <v>36</v>
      </c>
      <c r="F446" t="s">
        <v>37</v>
      </c>
      <c r="G446">
        <v>4</v>
      </c>
      <c r="H446">
        <v>6</v>
      </c>
      <c r="I446" t="s">
        <v>33</v>
      </c>
      <c r="J446">
        <v>3.5</v>
      </c>
      <c r="K446" t="s">
        <v>48</v>
      </c>
      <c r="L446">
        <v>75000</v>
      </c>
      <c r="M446" t="s">
        <v>51</v>
      </c>
      <c r="N446" t="s">
        <v>39</v>
      </c>
      <c r="O446">
        <v>1</v>
      </c>
    </row>
    <row r="447" spans="1:15" x14ac:dyDescent="0.3">
      <c r="A447" t="s">
        <v>492</v>
      </c>
      <c r="B447">
        <v>33</v>
      </c>
      <c r="C447" t="s">
        <v>23</v>
      </c>
      <c r="D447" t="s">
        <v>24</v>
      </c>
      <c r="E447" t="s">
        <v>45</v>
      </c>
      <c r="F447" t="s">
        <v>32</v>
      </c>
      <c r="G447">
        <v>6</v>
      </c>
      <c r="H447">
        <v>6</v>
      </c>
      <c r="I447" t="s">
        <v>33</v>
      </c>
      <c r="J447">
        <v>3.8</v>
      </c>
      <c r="K447" t="s">
        <v>19</v>
      </c>
      <c r="L447">
        <v>42000</v>
      </c>
      <c r="M447" t="s">
        <v>20</v>
      </c>
      <c r="N447" t="s">
        <v>39</v>
      </c>
      <c r="O447">
        <v>1</v>
      </c>
    </row>
    <row r="448" spans="1:15" x14ac:dyDescent="0.3">
      <c r="A448" t="s">
        <v>493</v>
      </c>
      <c r="B448">
        <v>37</v>
      </c>
      <c r="C448" t="s">
        <v>44</v>
      </c>
      <c r="D448" t="s">
        <v>16</v>
      </c>
      <c r="E448" t="s">
        <v>25</v>
      </c>
      <c r="F448" t="s">
        <v>37</v>
      </c>
      <c r="G448">
        <v>7</v>
      </c>
      <c r="H448">
        <v>7</v>
      </c>
      <c r="I448" t="s">
        <v>19</v>
      </c>
      <c r="J448">
        <v>4.3</v>
      </c>
      <c r="K448" t="s">
        <v>28</v>
      </c>
      <c r="L448">
        <v>76000</v>
      </c>
      <c r="M448" t="s">
        <v>51</v>
      </c>
      <c r="N448" t="s">
        <v>39</v>
      </c>
      <c r="O448">
        <v>1</v>
      </c>
    </row>
    <row r="449" spans="1:15" x14ac:dyDescent="0.3">
      <c r="A449" t="s">
        <v>494</v>
      </c>
      <c r="B449">
        <v>28</v>
      </c>
      <c r="C449" t="s">
        <v>15</v>
      </c>
      <c r="D449" t="s">
        <v>24</v>
      </c>
      <c r="E449" t="s">
        <v>17</v>
      </c>
      <c r="F449" t="s">
        <v>18</v>
      </c>
      <c r="G449">
        <v>2</v>
      </c>
      <c r="H449">
        <v>5</v>
      </c>
      <c r="I449" t="s">
        <v>381</v>
      </c>
      <c r="J449">
        <v>3.2</v>
      </c>
      <c r="K449" t="s">
        <v>48</v>
      </c>
      <c r="L449">
        <v>58000</v>
      </c>
      <c r="M449" t="s">
        <v>29</v>
      </c>
      <c r="N449" t="s">
        <v>39</v>
      </c>
      <c r="O449">
        <v>1</v>
      </c>
    </row>
    <row r="450" spans="1:15" x14ac:dyDescent="0.3">
      <c r="A450" t="s">
        <v>495</v>
      </c>
      <c r="B450">
        <v>34</v>
      </c>
      <c r="C450" t="s">
        <v>23</v>
      </c>
      <c r="D450" t="s">
        <v>16</v>
      </c>
      <c r="E450" t="s">
        <v>36</v>
      </c>
      <c r="F450" t="s">
        <v>37</v>
      </c>
      <c r="G450">
        <v>6</v>
      </c>
      <c r="H450">
        <v>6</v>
      </c>
      <c r="I450" t="s">
        <v>33</v>
      </c>
      <c r="J450">
        <v>3.7</v>
      </c>
      <c r="K450" t="s">
        <v>19</v>
      </c>
      <c r="L450">
        <v>70000</v>
      </c>
      <c r="M450" t="s">
        <v>19</v>
      </c>
      <c r="N450" t="s">
        <v>39</v>
      </c>
      <c r="O450">
        <v>1</v>
      </c>
    </row>
    <row r="451" spans="1:15" x14ac:dyDescent="0.3">
      <c r="A451" t="s">
        <v>496</v>
      </c>
      <c r="B451">
        <v>36</v>
      </c>
      <c r="C451" t="s">
        <v>44</v>
      </c>
      <c r="D451" t="s">
        <v>24</v>
      </c>
      <c r="E451" t="s">
        <v>45</v>
      </c>
      <c r="F451" t="s">
        <v>32</v>
      </c>
      <c r="G451">
        <v>8</v>
      </c>
      <c r="H451">
        <v>7</v>
      </c>
      <c r="I451" t="s">
        <v>19</v>
      </c>
      <c r="J451">
        <v>4</v>
      </c>
      <c r="K451" t="s">
        <v>19</v>
      </c>
      <c r="L451">
        <v>60000</v>
      </c>
      <c r="M451" t="s">
        <v>29</v>
      </c>
      <c r="N451" t="s">
        <v>39</v>
      </c>
      <c r="O451">
        <v>1</v>
      </c>
    </row>
    <row r="452" spans="1:15" x14ac:dyDescent="0.3">
      <c r="A452" t="s">
        <v>497</v>
      </c>
      <c r="B452">
        <v>31</v>
      </c>
      <c r="C452" t="s">
        <v>23</v>
      </c>
      <c r="D452" t="s">
        <v>16</v>
      </c>
      <c r="E452" t="s">
        <v>17</v>
      </c>
      <c r="F452" t="s">
        <v>18</v>
      </c>
      <c r="G452">
        <v>4</v>
      </c>
      <c r="H452">
        <v>6</v>
      </c>
      <c r="I452" t="s">
        <v>33</v>
      </c>
      <c r="J452">
        <v>3.6</v>
      </c>
      <c r="K452" t="s">
        <v>19</v>
      </c>
      <c r="L452">
        <v>75000</v>
      </c>
      <c r="M452" t="s">
        <v>51</v>
      </c>
      <c r="N452" t="s">
        <v>21</v>
      </c>
      <c r="O452">
        <v>0</v>
      </c>
    </row>
    <row r="453" spans="1:15" x14ac:dyDescent="0.3">
      <c r="A453" t="s">
        <v>498</v>
      </c>
      <c r="B453">
        <v>35</v>
      </c>
      <c r="C453" t="s">
        <v>23</v>
      </c>
      <c r="D453" t="s">
        <v>24</v>
      </c>
      <c r="E453" t="s">
        <v>31</v>
      </c>
      <c r="F453" t="s">
        <v>42</v>
      </c>
      <c r="G453">
        <v>7</v>
      </c>
      <c r="H453">
        <v>7</v>
      </c>
      <c r="I453" t="s">
        <v>19</v>
      </c>
      <c r="J453">
        <v>3.5</v>
      </c>
      <c r="K453" t="s">
        <v>48</v>
      </c>
      <c r="L453">
        <v>59000</v>
      </c>
      <c r="M453" t="s">
        <v>29</v>
      </c>
      <c r="N453" t="s">
        <v>21</v>
      </c>
      <c r="O453">
        <v>0</v>
      </c>
    </row>
    <row r="454" spans="1:15" x14ac:dyDescent="0.3">
      <c r="A454" t="s">
        <v>499</v>
      </c>
      <c r="B454">
        <v>28</v>
      </c>
      <c r="C454" t="s">
        <v>15</v>
      </c>
      <c r="D454" t="s">
        <v>16</v>
      </c>
      <c r="E454" t="s">
        <v>25</v>
      </c>
      <c r="F454" t="s">
        <v>37</v>
      </c>
      <c r="G454">
        <v>3</v>
      </c>
      <c r="H454">
        <v>5</v>
      </c>
      <c r="I454" t="s">
        <v>381</v>
      </c>
      <c r="J454">
        <v>3.8</v>
      </c>
      <c r="K454" t="s">
        <v>19</v>
      </c>
      <c r="L454">
        <v>61000</v>
      </c>
      <c r="M454" t="s">
        <v>19</v>
      </c>
      <c r="N454" t="s">
        <v>21</v>
      </c>
      <c r="O454">
        <v>0</v>
      </c>
    </row>
    <row r="455" spans="1:15" x14ac:dyDescent="0.3">
      <c r="A455" t="s">
        <v>500</v>
      </c>
      <c r="B455">
        <v>39</v>
      </c>
      <c r="C455" t="s">
        <v>44</v>
      </c>
      <c r="D455" t="s">
        <v>24</v>
      </c>
      <c r="E455" t="s">
        <v>36</v>
      </c>
      <c r="F455" t="s">
        <v>37</v>
      </c>
      <c r="G455">
        <v>9</v>
      </c>
      <c r="H455">
        <v>6</v>
      </c>
      <c r="I455" t="s">
        <v>33</v>
      </c>
      <c r="J455">
        <v>3.4</v>
      </c>
      <c r="K455" t="s">
        <v>48</v>
      </c>
      <c r="L455">
        <v>57000</v>
      </c>
      <c r="M455" t="s">
        <v>29</v>
      </c>
      <c r="N455" t="s">
        <v>21</v>
      </c>
      <c r="O455">
        <v>0</v>
      </c>
    </row>
    <row r="456" spans="1:15" x14ac:dyDescent="0.3">
      <c r="A456" t="s">
        <v>501</v>
      </c>
      <c r="B456">
        <v>40</v>
      </c>
      <c r="C456" t="s">
        <v>44</v>
      </c>
      <c r="D456" t="s">
        <v>16</v>
      </c>
      <c r="E456" t="s">
        <v>41</v>
      </c>
      <c r="F456" t="s">
        <v>42</v>
      </c>
      <c r="G456">
        <v>10</v>
      </c>
      <c r="H456">
        <v>7</v>
      </c>
      <c r="I456" t="s">
        <v>19</v>
      </c>
      <c r="J456">
        <v>4.0999999999999996</v>
      </c>
      <c r="K456" t="s">
        <v>28</v>
      </c>
      <c r="L456">
        <v>59000</v>
      </c>
      <c r="M456" t="s">
        <v>29</v>
      </c>
      <c r="N456" t="s">
        <v>21</v>
      </c>
      <c r="O456">
        <v>0</v>
      </c>
    </row>
    <row r="457" spans="1:15" x14ac:dyDescent="0.3">
      <c r="A457" t="s">
        <v>502</v>
      </c>
      <c r="B457">
        <v>27</v>
      </c>
      <c r="C457" t="s">
        <v>15</v>
      </c>
      <c r="D457" t="s">
        <v>24</v>
      </c>
      <c r="E457" t="s">
        <v>45</v>
      </c>
      <c r="F457" t="s">
        <v>32</v>
      </c>
      <c r="G457">
        <v>2</v>
      </c>
      <c r="H457">
        <v>5</v>
      </c>
      <c r="I457" t="s">
        <v>381</v>
      </c>
      <c r="J457">
        <v>3.7</v>
      </c>
      <c r="K457" t="s">
        <v>19</v>
      </c>
      <c r="L457">
        <v>60000</v>
      </c>
      <c r="M457" t="s">
        <v>29</v>
      </c>
      <c r="N457" t="s">
        <v>21</v>
      </c>
      <c r="O457">
        <v>0</v>
      </c>
    </row>
    <row r="458" spans="1:15" x14ac:dyDescent="0.3">
      <c r="A458" t="s">
        <v>503</v>
      </c>
      <c r="B458">
        <v>42</v>
      </c>
      <c r="C458" t="s">
        <v>35</v>
      </c>
      <c r="D458" t="s">
        <v>16</v>
      </c>
      <c r="E458" t="s">
        <v>17</v>
      </c>
      <c r="F458" t="s">
        <v>26</v>
      </c>
      <c r="G458">
        <v>11</v>
      </c>
      <c r="H458">
        <v>8</v>
      </c>
      <c r="I458" t="s">
        <v>27</v>
      </c>
      <c r="J458">
        <v>4</v>
      </c>
      <c r="K458" t="s">
        <v>19</v>
      </c>
      <c r="L458">
        <v>64000</v>
      </c>
      <c r="M458" t="s">
        <v>19</v>
      </c>
      <c r="N458" t="s">
        <v>21</v>
      </c>
      <c r="O458">
        <v>0</v>
      </c>
    </row>
    <row r="459" spans="1:15" x14ac:dyDescent="0.3">
      <c r="A459" t="s">
        <v>504</v>
      </c>
      <c r="B459">
        <v>29</v>
      </c>
      <c r="C459" t="s">
        <v>15</v>
      </c>
      <c r="D459" t="s">
        <v>24</v>
      </c>
      <c r="E459" t="s">
        <v>31</v>
      </c>
      <c r="F459" t="s">
        <v>42</v>
      </c>
      <c r="G459">
        <v>3</v>
      </c>
      <c r="H459">
        <v>7</v>
      </c>
      <c r="I459" t="s">
        <v>19</v>
      </c>
      <c r="J459">
        <v>3.9</v>
      </c>
      <c r="K459" t="s">
        <v>19</v>
      </c>
      <c r="L459">
        <v>61000</v>
      </c>
      <c r="M459" t="s">
        <v>19</v>
      </c>
      <c r="N459" t="s">
        <v>21</v>
      </c>
      <c r="O459">
        <v>0</v>
      </c>
    </row>
    <row r="460" spans="1:15" x14ac:dyDescent="0.3">
      <c r="A460" t="s">
        <v>505</v>
      </c>
      <c r="B460">
        <v>31</v>
      </c>
      <c r="C460" t="s">
        <v>23</v>
      </c>
      <c r="D460" t="s">
        <v>16</v>
      </c>
      <c r="E460" t="s">
        <v>36</v>
      </c>
      <c r="F460" t="s">
        <v>37</v>
      </c>
      <c r="G460">
        <v>5</v>
      </c>
      <c r="H460">
        <v>6</v>
      </c>
      <c r="I460" t="s">
        <v>33</v>
      </c>
      <c r="J460">
        <v>3.5</v>
      </c>
      <c r="K460" t="s">
        <v>48</v>
      </c>
      <c r="L460">
        <v>59000</v>
      </c>
      <c r="M460" t="s">
        <v>29</v>
      </c>
      <c r="N460" t="s">
        <v>21</v>
      </c>
      <c r="O460">
        <v>0</v>
      </c>
    </row>
    <row r="461" spans="1:15" x14ac:dyDescent="0.3">
      <c r="A461" t="s">
        <v>506</v>
      </c>
      <c r="B461">
        <v>33</v>
      </c>
      <c r="C461" t="s">
        <v>23</v>
      </c>
      <c r="D461" t="s">
        <v>24</v>
      </c>
      <c r="E461" t="s">
        <v>45</v>
      </c>
      <c r="F461" t="s">
        <v>32</v>
      </c>
      <c r="G461">
        <v>6</v>
      </c>
      <c r="H461">
        <v>6</v>
      </c>
      <c r="I461" t="s">
        <v>33</v>
      </c>
      <c r="J461">
        <v>3.8</v>
      </c>
      <c r="K461" t="s">
        <v>19</v>
      </c>
      <c r="L461">
        <v>61000</v>
      </c>
      <c r="M461" t="s">
        <v>19</v>
      </c>
      <c r="N461" t="s">
        <v>21</v>
      </c>
      <c r="O461">
        <v>0</v>
      </c>
    </row>
    <row r="462" spans="1:15" x14ac:dyDescent="0.3">
      <c r="A462" t="s">
        <v>507</v>
      </c>
      <c r="B462">
        <v>30</v>
      </c>
      <c r="C462" t="s">
        <v>15</v>
      </c>
      <c r="D462" t="s">
        <v>16</v>
      </c>
      <c r="E462" t="s">
        <v>17</v>
      </c>
      <c r="F462" t="s">
        <v>18</v>
      </c>
      <c r="G462">
        <v>5</v>
      </c>
      <c r="H462">
        <v>6</v>
      </c>
      <c r="I462" t="s">
        <v>33</v>
      </c>
      <c r="J462">
        <v>3.9</v>
      </c>
      <c r="K462" t="s">
        <v>19</v>
      </c>
      <c r="L462">
        <v>65000</v>
      </c>
      <c r="M462" t="s">
        <v>19</v>
      </c>
      <c r="N462" t="s">
        <v>39</v>
      </c>
      <c r="O462">
        <v>1</v>
      </c>
    </row>
    <row r="463" spans="1:15" x14ac:dyDescent="0.3">
      <c r="A463" t="s">
        <v>508</v>
      </c>
      <c r="B463">
        <v>31</v>
      </c>
      <c r="C463" t="s">
        <v>23</v>
      </c>
      <c r="D463" t="s">
        <v>24</v>
      </c>
      <c r="E463" t="s">
        <v>25</v>
      </c>
      <c r="F463" t="s">
        <v>37</v>
      </c>
      <c r="G463">
        <v>4</v>
      </c>
      <c r="H463">
        <v>5</v>
      </c>
      <c r="I463" t="s">
        <v>381</v>
      </c>
      <c r="J463">
        <v>3.5</v>
      </c>
      <c r="K463" t="s">
        <v>48</v>
      </c>
      <c r="L463">
        <v>59000</v>
      </c>
      <c r="M463" t="s">
        <v>29</v>
      </c>
      <c r="N463" t="s">
        <v>39</v>
      </c>
      <c r="O463">
        <v>1</v>
      </c>
    </row>
    <row r="464" spans="1:15" x14ac:dyDescent="0.3">
      <c r="A464" t="s">
        <v>509</v>
      </c>
      <c r="B464">
        <v>29</v>
      </c>
      <c r="C464" t="s">
        <v>15</v>
      </c>
      <c r="D464" t="s">
        <v>16</v>
      </c>
      <c r="E464" t="s">
        <v>31</v>
      </c>
      <c r="F464" t="s">
        <v>42</v>
      </c>
      <c r="G464">
        <v>3</v>
      </c>
      <c r="H464">
        <v>7</v>
      </c>
      <c r="I464" t="s">
        <v>19</v>
      </c>
      <c r="J464">
        <v>3.4</v>
      </c>
      <c r="K464" t="s">
        <v>48</v>
      </c>
      <c r="L464">
        <v>62000</v>
      </c>
      <c r="M464" t="s">
        <v>19</v>
      </c>
      <c r="N464" t="s">
        <v>39</v>
      </c>
      <c r="O464">
        <v>1</v>
      </c>
    </row>
    <row r="465" spans="1:15" x14ac:dyDescent="0.3">
      <c r="A465" t="s">
        <v>510</v>
      </c>
      <c r="B465">
        <v>40</v>
      </c>
      <c r="C465" t="s">
        <v>44</v>
      </c>
      <c r="D465" t="s">
        <v>24</v>
      </c>
      <c r="E465" t="s">
        <v>36</v>
      </c>
      <c r="F465" t="s">
        <v>37</v>
      </c>
      <c r="G465">
        <v>8</v>
      </c>
      <c r="H465">
        <v>6</v>
      </c>
      <c r="I465" t="s">
        <v>33</v>
      </c>
      <c r="J465">
        <v>3.7</v>
      </c>
      <c r="K465" t="s">
        <v>19</v>
      </c>
      <c r="L465">
        <v>48000</v>
      </c>
      <c r="M465" t="s">
        <v>20</v>
      </c>
      <c r="N465" t="s">
        <v>39</v>
      </c>
      <c r="O465">
        <v>1</v>
      </c>
    </row>
    <row r="466" spans="1:15" x14ac:dyDescent="0.3">
      <c r="A466" t="s">
        <v>511</v>
      </c>
      <c r="B466">
        <v>45</v>
      </c>
      <c r="C466" t="s">
        <v>35</v>
      </c>
      <c r="D466" t="s">
        <v>16</v>
      </c>
      <c r="E466" t="s">
        <v>41</v>
      </c>
      <c r="F466" t="s">
        <v>42</v>
      </c>
      <c r="G466">
        <v>11</v>
      </c>
      <c r="H466">
        <v>7</v>
      </c>
      <c r="I466" t="s">
        <v>19</v>
      </c>
      <c r="J466">
        <v>4.0999999999999996</v>
      </c>
      <c r="K466" t="s">
        <v>28</v>
      </c>
      <c r="L466">
        <v>57000</v>
      </c>
      <c r="M466" t="s">
        <v>29</v>
      </c>
      <c r="N466" t="s">
        <v>39</v>
      </c>
      <c r="O466">
        <v>1</v>
      </c>
    </row>
    <row r="467" spans="1:15" x14ac:dyDescent="0.3">
      <c r="A467" t="s">
        <v>512</v>
      </c>
      <c r="B467">
        <v>32</v>
      </c>
      <c r="C467" t="s">
        <v>23</v>
      </c>
      <c r="D467" t="s">
        <v>24</v>
      </c>
      <c r="E467" t="s">
        <v>31</v>
      </c>
      <c r="F467" t="s">
        <v>42</v>
      </c>
      <c r="G467">
        <v>4</v>
      </c>
      <c r="H467">
        <v>5</v>
      </c>
      <c r="I467" t="s">
        <v>381</v>
      </c>
      <c r="J467">
        <v>3.8</v>
      </c>
      <c r="K467" t="s">
        <v>19</v>
      </c>
      <c r="L467">
        <v>70000</v>
      </c>
      <c r="M467" t="s">
        <v>19</v>
      </c>
      <c r="N467" t="s">
        <v>39</v>
      </c>
      <c r="O467">
        <v>1</v>
      </c>
    </row>
    <row r="468" spans="1:15" x14ac:dyDescent="0.3">
      <c r="A468" t="s">
        <v>513</v>
      </c>
      <c r="B468">
        <v>29</v>
      </c>
      <c r="C468" t="s">
        <v>15</v>
      </c>
      <c r="D468" t="s">
        <v>16</v>
      </c>
      <c r="E468" t="s">
        <v>36</v>
      </c>
      <c r="F468" t="s">
        <v>37</v>
      </c>
      <c r="G468">
        <v>4</v>
      </c>
      <c r="H468">
        <v>6</v>
      </c>
      <c r="I468" t="s">
        <v>33</v>
      </c>
      <c r="J468">
        <v>3.5</v>
      </c>
      <c r="K468" t="s">
        <v>48</v>
      </c>
      <c r="L468">
        <v>75000</v>
      </c>
      <c r="M468" t="s">
        <v>51</v>
      </c>
      <c r="N468" t="s">
        <v>39</v>
      </c>
      <c r="O468">
        <v>1</v>
      </c>
    </row>
    <row r="469" spans="1:15" x14ac:dyDescent="0.3">
      <c r="A469" t="s">
        <v>514</v>
      </c>
      <c r="B469">
        <v>33</v>
      </c>
      <c r="C469" t="s">
        <v>23</v>
      </c>
      <c r="D469" t="s">
        <v>24</v>
      </c>
      <c r="E469" t="s">
        <v>45</v>
      </c>
      <c r="F469" t="s">
        <v>32</v>
      </c>
      <c r="G469">
        <v>6</v>
      </c>
      <c r="H469">
        <v>6</v>
      </c>
      <c r="I469" t="s">
        <v>33</v>
      </c>
      <c r="J469">
        <v>3.8</v>
      </c>
      <c r="K469" t="s">
        <v>19</v>
      </c>
      <c r="L469">
        <v>42000</v>
      </c>
      <c r="M469" t="s">
        <v>20</v>
      </c>
      <c r="N469" t="s">
        <v>39</v>
      </c>
      <c r="O469">
        <v>1</v>
      </c>
    </row>
    <row r="470" spans="1:15" x14ac:dyDescent="0.3">
      <c r="A470" t="s">
        <v>515</v>
      </c>
      <c r="B470">
        <v>37</v>
      </c>
      <c r="C470" t="s">
        <v>44</v>
      </c>
      <c r="D470" t="s">
        <v>16</v>
      </c>
      <c r="E470" t="s">
        <v>25</v>
      </c>
      <c r="F470" t="s">
        <v>37</v>
      </c>
      <c r="G470">
        <v>7</v>
      </c>
      <c r="H470">
        <v>7</v>
      </c>
      <c r="I470" t="s">
        <v>19</v>
      </c>
      <c r="J470">
        <v>4.3</v>
      </c>
      <c r="K470" t="s">
        <v>28</v>
      </c>
      <c r="L470">
        <v>76000</v>
      </c>
      <c r="M470" t="s">
        <v>51</v>
      </c>
      <c r="N470" t="s">
        <v>39</v>
      </c>
      <c r="O470">
        <v>1</v>
      </c>
    </row>
    <row r="471" spans="1:15" x14ac:dyDescent="0.3">
      <c r="A471" t="s">
        <v>516</v>
      </c>
      <c r="B471">
        <v>28</v>
      </c>
      <c r="C471" t="s">
        <v>15</v>
      </c>
      <c r="D471" t="s">
        <v>24</v>
      </c>
      <c r="E471" t="s">
        <v>17</v>
      </c>
      <c r="F471" t="s">
        <v>18</v>
      </c>
      <c r="G471">
        <v>2</v>
      </c>
      <c r="H471">
        <v>5</v>
      </c>
      <c r="I471" t="s">
        <v>381</v>
      </c>
      <c r="J471">
        <v>3.2</v>
      </c>
      <c r="K471" t="s">
        <v>48</v>
      </c>
      <c r="L471">
        <v>58000</v>
      </c>
      <c r="M471" t="s">
        <v>29</v>
      </c>
      <c r="N471" t="s">
        <v>39</v>
      </c>
      <c r="O471">
        <v>1</v>
      </c>
    </row>
    <row r="472" spans="1:15" x14ac:dyDescent="0.3">
      <c r="A472" t="s">
        <v>517</v>
      </c>
      <c r="B472">
        <v>34</v>
      </c>
      <c r="C472" t="s">
        <v>23</v>
      </c>
      <c r="D472" t="s">
        <v>16</v>
      </c>
      <c r="E472" t="s">
        <v>36</v>
      </c>
      <c r="F472" t="s">
        <v>37</v>
      </c>
      <c r="G472">
        <v>6</v>
      </c>
      <c r="H472">
        <v>6</v>
      </c>
      <c r="I472" t="s">
        <v>33</v>
      </c>
      <c r="J472">
        <v>3.7</v>
      </c>
      <c r="K472" t="s">
        <v>19</v>
      </c>
      <c r="L472">
        <v>70000</v>
      </c>
      <c r="M472" t="s">
        <v>19</v>
      </c>
      <c r="N472" t="s">
        <v>39</v>
      </c>
      <c r="O472">
        <v>1</v>
      </c>
    </row>
    <row r="473" spans="1:15" x14ac:dyDescent="0.3">
      <c r="A473" t="s">
        <v>518</v>
      </c>
      <c r="B473">
        <v>36</v>
      </c>
      <c r="C473" t="s">
        <v>44</v>
      </c>
      <c r="D473" t="s">
        <v>24</v>
      </c>
      <c r="E473" t="s">
        <v>45</v>
      </c>
      <c r="F473" t="s">
        <v>32</v>
      </c>
      <c r="G473">
        <v>8</v>
      </c>
      <c r="H473">
        <v>7</v>
      </c>
      <c r="I473" t="s">
        <v>19</v>
      </c>
      <c r="J473">
        <v>4</v>
      </c>
      <c r="K473" t="s">
        <v>19</v>
      </c>
      <c r="L473">
        <v>60000</v>
      </c>
      <c r="M473" t="s">
        <v>29</v>
      </c>
      <c r="N473" t="s">
        <v>39</v>
      </c>
      <c r="O473">
        <v>1</v>
      </c>
    </row>
    <row r="474" spans="1:15" x14ac:dyDescent="0.3">
      <c r="A474" t="s">
        <v>519</v>
      </c>
      <c r="B474">
        <v>30</v>
      </c>
      <c r="C474" t="s">
        <v>15</v>
      </c>
      <c r="D474" t="s">
        <v>16</v>
      </c>
      <c r="E474" t="s">
        <v>17</v>
      </c>
      <c r="F474" t="s">
        <v>26</v>
      </c>
      <c r="G474">
        <v>5</v>
      </c>
      <c r="H474">
        <v>6</v>
      </c>
      <c r="I474" t="s">
        <v>33</v>
      </c>
      <c r="J474">
        <v>3.9</v>
      </c>
      <c r="K474" t="s">
        <v>19</v>
      </c>
      <c r="L474">
        <v>65000</v>
      </c>
      <c r="M474" t="s">
        <v>19</v>
      </c>
      <c r="N474" t="s">
        <v>39</v>
      </c>
      <c r="O474">
        <v>1</v>
      </c>
    </row>
    <row r="475" spans="1:15" x14ac:dyDescent="0.3">
      <c r="A475" t="s">
        <v>520</v>
      </c>
      <c r="B475">
        <v>31</v>
      </c>
      <c r="C475" t="s">
        <v>23</v>
      </c>
      <c r="D475" t="s">
        <v>24</v>
      </c>
      <c r="E475" t="s">
        <v>25</v>
      </c>
      <c r="F475" t="s">
        <v>37</v>
      </c>
      <c r="G475">
        <v>4</v>
      </c>
      <c r="H475">
        <v>5</v>
      </c>
      <c r="I475" t="s">
        <v>381</v>
      </c>
      <c r="J475">
        <v>3.5</v>
      </c>
      <c r="K475" t="s">
        <v>48</v>
      </c>
      <c r="L475">
        <v>59000</v>
      </c>
      <c r="M475" t="s">
        <v>29</v>
      </c>
      <c r="N475" t="s">
        <v>39</v>
      </c>
      <c r="O475">
        <v>1</v>
      </c>
    </row>
    <row r="476" spans="1:15" x14ac:dyDescent="0.3">
      <c r="A476" t="s">
        <v>521</v>
      </c>
      <c r="B476">
        <v>29</v>
      </c>
      <c r="C476" t="s">
        <v>15</v>
      </c>
      <c r="D476" t="s">
        <v>16</v>
      </c>
      <c r="E476" t="s">
        <v>31</v>
      </c>
      <c r="F476" t="s">
        <v>42</v>
      </c>
      <c r="G476">
        <v>3</v>
      </c>
      <c r="H476">
        <v>7</v>
      </c>
      <c r="I476" t="s">
        <v>19</v>
      </c>
      <c r="J476">
        <v>3.4</v>
      </c>
      <c r="K476" t="s">
        <v>48</v>
      </c>
      <c r="L476">
        <v>62000</v>
      </c>
      <c r="M476" t="s">
        <v>19</v>
      </c>
      <c r="N476" t="s">
        <v>39</v>
      </c>
      <c r="O476">
        <v>1</v>
      </c>
    </row>
    <row r="477" spans="1:15" x14ac:dyDescent="0.3">
      <c r="A477" t="s">
        <v>522</v>
      </c>
      <c r="B477">
        <v>40</v>
      </c>
      <c r="C477" t="s">
        <v>44</v>
      </c>
      <c r="D477" t="s">
        <v>24</v>
      </c>
      <c r="E477" t="s">
        <v>36</v>
      </c>
      <c r="F477" t="s">
        <v>37</v>
      </c>
      <c r="G477">
        <v>8</v>
      </c>
      <c r="H477">
        <v>6</v>
      </c>
      <c r="I477" t="s">
        <v>33</v>
      </c>
      <c r="J477">
        <v>3.7</v>
      </c>
      <c r="K477" t="s">
        <v>19</v>
      </c>
      <c r="L477">
        <v>48000</v>
      </c>
      <c r="M477" t="s">
        <v>20</v>
      </c>
      <c r="N477" t="s">
        <v>39</v>
      </c>
      <c r="O477">
        <v>1</v>
      </c>
    </row>
    <row r="478" spans="1:15" x14ac:dyDescent="0.3">
      <c r="A478" t="s">
        <v>523</v>
      </c>
      <c r="B478">
        <v>45</v>
      </c>
      <c r="C478" t="s">
        <v>35</v>
      </c>
      <c r="D478" t="s">
        <v>16</v>
      </c>
      <c r="E478" t="s">
        <v>41</v>
      </c>
      <c r="F478" t="s">
        <v>42</v>
      </c>
      <c r="G478">
        <v>11</v>
      </c>
      <c r="H478">
        <v>7</v>
      </c>
      <c r="I478" t="s">
        <v>19</v>
      </c>
      <c r="J478">
        <v>4.0999999999999996</v>
      </c>
      <c r="K478" t="s">
        <v>28</v>
      </c>
      <c r="L478">
        <v>57000</v>
      </c>
      <c r="M478" t="s">
        <v>29</v>
      </c>
      <c r="N478" t="s">
        <v>39</v>
      </c>
      <c r="O478">
        <v>1</v>
      </c>
    </row>
    <row r="479" spans="1:15" x14ac:dyDescent="0.3">
      <c r="A479" t="s">
        <v>524</v>
      </c>
      <c r="B479">
        <v>32</v>
      </c>
      <c r="C479" t="s">
        <v>23</v>
      </c>
      <c r="D479" t="s">
        <v>24</v>
      </c>
      <c r="E479" t="s">
        <v>31</v>
      </c>
      <c r="F479" t="s">
        <v>42</v>
      </c>
      <c r="G479">
        <v>4</v>
      </c>
      <c r="H479">
        <v>5</v>
      </c>
      <c r="I479" t="s">
        <v>381</v>
      </c>
      <c r="J479">
        <v>3.8</v>
      </c>
      <c r="K479" t="s">
        <v>19</v>
      </c>
      <c r="L479">
        <v>70000</v>
      </c>
      <c r="M479" t="s">
        <v>19</v>
      </c>
      <c r="N479" t="s">
        <v>39</v>
      </c>
      <c r="O479">
        <v>1</v>
      </c>
    </row>
    <row r="480" spans="1:15" x14ac:dyDescent="0.3">
      <c r="A480" t="s">
        <v>525</v>
      </c>
      <c r="B480">
        <v>29</v>
      </c>
      <c r="C480" t="s">
        <v>15</v>
      </c>
      <c r="D480" t="s">
        <v>16</v>
      </c>
      <c r="E480" t="s">
        <v>36</v>
      </c>
      <c r="F480" t="s">
        <v>37</v>
      </c>
      <c r="G480">
        <v>4</v>
      </c>
      <c r="H480">
        <v>6</v>
      </c>
      <c r="I480" t="s">
        <v>33</v>
      </c>
      <c r="J480">
        <v>3.5</v>
      </c>
      <c r="K480" t="s">
        <v>48</v>
      </c>
      <c r="L480">
        <v>75000</v>
      </c>
      <c r="M480" t="s">
        <v>51</v>
      </c>
      <c r="N480" t="s">
        <v>39</v>
      </c>
      <c r="O480">
        <v>1</v>
      </c>
    </row>
    <row r="481" spans="1:15" x14ac:dyDescent="0.3">
      <c r="A481" t="s">
        <v>526</v>
      </c>
      <c r="B481">
        <v>33</v>
      </c>
      <c r="C481" t="s">
        <v>23</v>
      </c>
      <c r="D481" t="s">
        <v>24</v>
      </c>
      <c r="E481" t="s">
        <v>45</v>
      </c>
      <c r="F481" t="s">
        <v>32</v>
      </c>
      <c r="G481">
        <v>6</v>
      </c>
      <c r="H481">
        <v>6</v>
      </c>
      <c r="I481" t="s">
        <v>33</v>
      </c>
      <c r="J481">
        <v>3.8</v>
      </c>
      <c r="K481" t="s">
        <v>19</v>
      </c>
      <c r="L481">
        <v>42000</v>
      </c>
      <c r="M481" t="s">
        <v>20</v>
      </c>
      <c r="N481" t="s">
        <v>39</v>
      </c>
      <c r="O481">
        <v>1</v>
      </c>
    </row>
    <row r="482" spans="1:15" x14ac:dyDescent="0.3">
      <c r="A482" t="s">
        <v>527</v>
      </c>
      <c r="B482">
        <v>37</v>
      </c>
      <c r="C482" t="s">
        <v>44</v>
      </c>
      <c r="D482" t="s">
        <v>16</v>
      </c>
      <c r="E482" t="s">
        <v>25</v>
      </c>
      <c r="F482" t="s">
        <v>37</v>
      </c>
      <c r="G482">
        <v>7</v>
      </c>
      <c r="H482">
        <v>7</v>
      </c>
      <c r="I482" t="s">
        <v>19</v>
      </c>
      <c r="J482">
        <v>4.3</v>
      </c>
      <c r="K482" t="s">
        <v>28</v>
      </c>
      <c r="L482">
        <v>76000</v>
      </c>
      <c r="M482" t="s">
        <v>51</v>
      </c>
      <c r="N482" t="s">
        <v>39</v>
      </c>
      <c r="O482">
        <v>1</v>
      </c>
    </row>
    <row r="483" spans="1:15" x14ac:dyDescent="0.3">
      <c r="A483" t="s">
        <v>528</v>
      </c>
      <c r="B483">
        <v>28</v>
      </c>
      <c r="C483" t="s">
        <v>15</v>
      </c>
      <c r="D483" t="s">
        <v>24</v>
      </c>
      <c r="E483" t="s">
        <v>17</v>
      </c>
      <c r="F483" t="s">
        <v>18</v>
      </c>
      <c r="G483">
        <v>2</v>
      </c>
      <c r="H483">
        <v>5</v>
      </c>
      <c r="I483" t="s">
        <v>381</v>
      </c>
      <c r="J483">
        <v>3.2</v>
      </c>
      <c r="K483" t="s">
        <v>48</v>
      </c>
      <c r="L483">
        <v>58000</v>
      </c>
      <c r="M483" t="s">
        <v>29</v>
      </c>
      <c r="N483" t="s">
        <v>39</v>
      </c>
      <c r="O483">
        <v>1</v>
      </c>
    </row>
    <row r="484" spans="1:15" x14ac:dyDescent="0.3">
      <c r="A484" t="s">
        <v>529</v>
      </c>
      <c r="B484">
        <v>34</v>
      </c>
      <c r="C484" t="s">
        <v>23</v>
      </c>
      <c r="D484" t="s">
        <v>16</v>
      </c>
      <c r="E484" t="s">
        <v>36</v>
      </c>
      <c r="F484" t="s">
        <v>37</v>
      </c>
      <c r="G484">
        <v>6</v>
      </c>
      <c r="H484">
        <v>6</v>
      </c>
      <c r="I484" t="s">
        <v>33</v>
      </c>
      <c r="J484">
        <v>3.7</v>
      </c>
      <c r="K484" t="s">
        <v>19</v>
      </c>
      <c r="L484">
        <v>70000</v>
      </c>
      <c r="M484" t="s">
        <v>19</v>
      </c>
      <c r="N484" t="s">
        <v>39</v>
      </c>
      <c r="O484">
        <v>1</v>
      </c>
    </row>
    <row r="485" spans="1:15" x14ac:dyDescent="0.3">
      <c r="A485" t="s">
        <v>530</v>
      </c>
      <c r="B485">
        <v>36</v>
      </c>
      <c r="C485" t="s">
        <v>44</v>
      </c>
      <c r="D485" t="s">
        <v>24</v>
      </c>
      <c r="E485" t="s">
        <v>45</v>
      </c>
      <c r="F485" t="s">
        <v>32</v>
      </c>
      <c r="G485">
        <v>8</v>
      </c>
      <c r="H485">
        <v>7</v>
      </c>
      <c r="I485" t="s">
        <v>19</v>
      </c>
      <c r="J485">
        <v>4</v>
      </c>
      <c r="K485" t="s">
        <v>19</v>
      </c>
      <c r="L485">
        <v>60000</v>
      </c>
      <c r="M485" t="s">
        <v>29</v>
      </c>
      <c r="N485" t="s">
        <v>39</v>
      </c>
      <c r="O485">
        <v>1</v>
      </c>
    </row>
    <row r="486" spans="1:15" x14ac:dyDescent="0.3">
      <c r="A486" t="s">
        <v>531</v>
      </c>
      <c r="B486">
        <v>30</v>
      </c>
      <c r="C486" t="s">
        <v>15</v>
      </c>
      <c r="D486" t="s">
        <v>16</v>
      </c>
      <c r="E486" t="s">
        <v>17</v>
      </c>
      <c r="F486" t="s">
        <v>26</v>
      </c>
      <c r="G486">
        <v>5</v>
      </c>
      <c r="H486">
        <v>6</v>
      </c>
      <c r="I486" t="s">
        <v>33</v>
      </c>
      <c r="J486">
        <v>3.9</v>
      </c>
      <c r="K486" t="s">
        <v>19</v>
      </c>
      <c r="L486">
        <v>65000</v>
      </c>
      <c r="M486" t="s">
        <v>19</v>
      </c>
      <c r="N486" t="s">
        <v>21</v>
      </c>
      <c r="O486">
        <v>0</v>
      </c>
    </row>
    <row r="487" spans="1:15" x14ac:dyDescent="0.3">
      <c r="A487" t="s">
        <v>532</v>
      </c>
      <c r="B487">
        <v>31</v>
      </c>
      <c r="C487" t="s">
        <v>23</v>
      </c>
      <c r="D487" t="s">
        <v>24</v>
      </c>
      <c r="E487" t="s">
        <v>25</v>
      </c>
      <c r="F487" t="s">
        <v>37</v>
      </c>
      <c r="G487">
        <v>4</v>
      </c>
      <c r="H487">
        <v>5</v>
      </c>
      <c r="I487" t="s">
        <v>381</v>
      </c>
      <c r="J487">
        <v>3.5</v>
      </c>
      <c r="K487" t="s">
        <v>48</v>
      </c>
      <c r="L487">
        <v>59000</v>
      </c>
      <c r="M487" t="s">
        <v>29</v>
      </c>
      <c r="N487" t="s">
        <v>21</v>
      </c>
      <c r="O487">
        <v>0</v>
      </c>
    </row>
    <row r="488" spans="1:15" x14ac:dyDescent="0.3">
      <c r="A488" t="s">
        <v>533</v>
      </c>
      <c r="B488">
        <v>29</v>
      </c>
      <c r="C488" t="s">
        <v>15</v>
      </c>
      <c r="D488" t="s">
        <v>16</v>
      </c>
      <c r="E488" t="s">
        <v>31</v>
      </c>
      <c r="F488" t="s">
        <v>42</v>
      </c>
      <c r="G488">
        <v>3</v>
      </c>
      <c r="H488">
        <v>7</v>
      </c>
      <c r="I488" t="s">
        <v>19</v>
      </c>
      <c r="J488">
        <v>3.4</v>
      </c>
      <c r="K488" t="s">
        <v>48</v>
      </c>
      <c r="L488">
        <v>62000</v>
      </c>
      <c r="M488" t="s">
        <v>19</v>
      </c>
      <c r="N488" t="s">
        <v>21</v>
      </c>
      <c r="O488">
        <v>0</v>
      </c>
    </row>
    <row r="489" spans="1:15" x14ac:dyDescent="0.3">
      <c r="A489" t="s">
        <v>534</v>
      </c>
      <c r="B489">
        <v>40</v>
      </c>
      <c r="C489" t="s">
        <v>44</v>
      </c>
      <c r="D489" t="s">
        <v>24</v>
      </c>
      <c r="E489" t="s">
        <v>36</v>
      </c>
      <c r="F489" t="s">
        <v>37</v>
      </c>
      <c r="G489">
        <v>8</v>
      </c>
      <c r="H489">
        <v>6</v>
      </c>
      <c r="I489" t="s">
        <v>33</v>
      </c>
      <c r="J489">
        <v>3.7</v>
      </c>
      <c r="K489" t="s">
        <v>19</v>
      </c>
      <c r="L489">
        <v>48000</v>
      </c>
      <c r="M489" t="s">
        <v>20</v>
      </c>
      <c r="N489" t="s">
        <v>21</v>
      </c>
      <c r="O489">
        <v>0</v>
      </c>
    </row>
    <row r="490" spans="1:15" x14ac:dyDescent="0.3">
      <c r="A490" t="s">
        <v>535</v>
      </c>
      <c r="B490">
        <v>45</v>
      </c>
      <c r="C490" t="s">
        <v>35</v>
      </c>
      <c r="D490" t="s">
        <v>16</v>
      </c>
      <c r="E490" t="s">
        <v>41</v>
      </c>
      <c r="F490" t="s">
        <v>42</v>
      </c>
      <c r="G490">
        <v>11</v>
      </c>
      <c r="H490">
        <v>7</v>
      </c>
      <c r="I490" t="s">
        <v>19</v>
      </c>
      <c r="J490">
        <v>4.0999999999999996</v>
      </c>
      <c r="K490" t="s">
        <v>28</v>
      </c>
      <c r="L490">
        <v>57000</v>
      </c>
      <c r="M490" t="s">
        <v>29</v>
      </c>
      <c r="N490" t="s">
        <v>21</v>
      </c>
      <c r="O490">
        <v>0</v>
      </c>
    </row>
    <row r="491" spans="1:15" x14ac:dyDescent="0.3">
      <c r="A491" t="s">
        <v>536</v>
      </c>
      <c r="B491">
        <v>32</v>
      </c>
      <c r="C491" t="s">
        <v>23</v>
      </c>
      <c r="D491" t="s">
        <v>24</v>
      </c>
      <c r="E491" t="s">
        <v>31</v>
      </c>
      <c r="F491" t="s">
        <v>42</v>
      </c>
      <c r="G491">
        <v>4</v>
      </c>
      <c r="H491">
        <v>5</v>
      </c>
      <c r="I491" t="s">
        <v>381</v>
      </c>
      <c r="J491">
        <v>3.8</v>
      </c>
      <c r="K491" t="s">
        <v>19</v>
      </c>
      <c r="L491">
        <v>70000</v>
      </c>
      <c r="M491" t="s">
        <v>19</v>
      </c>
      <c r="N491" t="s">
        <v>21</v>
      </c>
      <c r="O491">
        <v>0</v>
      </c>
    </row>
    <row r="492" spans="1:15" x14ac:dyDescent="0.3">
      <c r="A492" t="s">
        <v>537</v>
      </c>
      <c r="B492">
        <v>29</v>
      </c>
      <c r="C492" t="s">
        <v>15</v>
      </c>
      <c r="D492" t="s">
        <v>16</v>
      </c>
      <c r="E492" t="s">
        <v>36</v>
      </c>
      <c r="F492" t="s">
        <v>37</v>
      </c>
      <c r="G492">
        <v>4</v>
      </c>
      <c r="H492">
        <v>6</v>
      </c>
      <c r="I492" t="s">
        <v>33</v>
      </c>
      <c r="J492">
        <v>3.5</v>
      </c>
      <c r="K492" t="s">
        <v>48</v>
      </c>
      <c r="L492">
        <v>75000</v>
      </c>
      <c r="M492" t="s">
        <v>51</v>
      </c>
      <c r="N492" t="s">
        <v>21</v>
      </c>
      <c r="O492">
        <v>0</v>
      </c>
    </row>
    <row r="493" spans="1:15" x14ac:dyDescent="0.3">
      <c r="A493" t="s">
        <v>538</v>
      </c>
      <c r="B493">
        <v>33</v>
      </c>
      <c r="C493" t="s">
        <v>23</v>
      </c>
      <c r="D493" t="s">
        <v>24</v>
      </c>
      <c r="E493" t="s">
        <v>45</v>
      </c>
      <c r="F493" t="s">
        <v>32</v>
      </c>
      <c r="G493">
        <v>6</v>
      </c>
      <c r="H493">
        <v>6</v>
      </c>
      <c r="I493" t="s">
        <v>33</v>
      </c>
      <c r="J493">
        <v>3.8</v>
      </c>
      <c r="K493" t="s">
        <v>19</v>
      </c>
      <c r="L493">
        <v>42000</v>
      </c>
      <c r="M493" t="s">
        <v>20</v>
      </c>
      <c r="N493" t="s">
        <v>21</v>
      </c>
      <c r="O493">
        <v>0</v>
      </c>
    </row>
    <row r="494" spans="1:15" x14ac:dyDescent="0.3">
      <c r="A494" t="s">
        <v>539</v>
      </c>
      <c r="B494">
        <v>37</v>
      </c>
      <c r="C494" t="s">
        <v>44</v>
      </c>
      <c r="D494" t="s">
        <v>16</v>
      </c>
      <c r="E494" t="s">
        <v>25</v>
      </c>
      <c r="F494" t="s">
        <v>37</v>
      </c>
      <c r="G494">
        <v>7</v>
      </c>
      <c r="H494">
        <v>7</v>
      </c>
      <c r="I494" t="s">
        <v>19</v>
      </c>
      <c r="J494">
        <v>4.3</v>
      </c>
      <c r="K494" t="s">
        <v>28</v>
      </c>
      <c r="L494">
        <v>76000</v>
      </c>
      <c r="M494" t="s">
        <v>51</v>
      </c>
      <c r="N494" t="s">
        <v>21</v>
      </c>
      <c r="O494">
        <v>0</v>
      </c>
    </row>
    <row r="495" spans="1:15" x14ac:dyDescent="0.3">
      <c r="A495" t="s">
        <v>540</v>
      </c>
      <c r="B495">
        <v>28</v>
      </c>
      <c r="C495" t="s">
        <v>15</v>
      </c>
      <c r="D495" t="s">
        <v>24</v>
      </c>
      <c r="E495" t="s">
        <v>17</v>
      </c>
      <c r="F495" t="s">
        <v>18</v>
      </c>
      <c r="G495">
        <v>2</v>
      </c>
      <c r="H495">
        <v>5</v>
      </c>
      <c r="I495" t="s">
        <v>381</v>
      </c>
      <c r="J495">
        <v>3.2</v>
      </c>
      <c r="K495" t="s">
        <v>48</v>
      </c>
      <c r="L495">
        <v>58000</v>
      </c>
      <c r="M495" t="s">
        <v>29</v>
      </c>
      <c r="N495" t="s">
        <v>21</v>
      </c>
      <c r="O495">
        <v>0</v>
      </c>
    </row>
    <row r="496" spans="1:15" x14ac:dyDescent="0.3">
      <c r="A496" t="s">
        <v>541</v>
      </c>
      <c r="B496">
        <v>34</v>
      </c>
      <c r="C496" t="s">
        <v>23</v>
      </c>
      <c r="D496" t="s">
        <v>16</v>
      </c>
      <c r="E496" t="s">
        <v>36</v>
      </c>
      <c r="F496" t="s">
        <v>37</v>
      </c>
      <c r="G496">
        <v>6</v>
      </c>
      <c r="H496">
        <v>6</v>
      </c>
      <c r="I496" t="s">
        <v>33</v>
      </c>
      <c r="J496">
        <v>3.7</v>
      </c>
      <c r="K496" t="s">
        <v>19</v>
      </c>
      <c r="L496">
        <v>70000</v>
      </c>
      <c r="M496" t="s">
        <v>19</v>
      </c>
      <c r="N496" t="s">
        <v>21</v>
      </c>
      <c r="O496">
        <v>0</v>
      </c>
    </row>
    <row r="497" spans="1:15" x14ac:dyDescent="0.3">
      <c r="A497" t="s">
        <v>542</v>
      </c>
      <c r="B497">
        <v>36</v>
      </c>
      <c r="C497" t="s">
        <v>44</v>
      </c>
      <c r="D497" t="s">
        <v>24</v>
      </c>
      <c r="E497" t="s">
        <v>45</v>
      </c>
      <c r="F497" t="s">
        <v>32</v>
      </c>
      <c r="G497">
        <v>8</v>
      </c>
      <c r="H497">
        <v>7</v>
      </c>
      <c r="I497" t="s">
        <v>19</v>
      </c>
      <c r="J497">
        <v>4</v>
      </c>
      <c r="K497" t="s">
        <v>19</v>
      </c>
      <c r="L497">
        <v>60000</v>
      </c>
      <c r="M497" t="s">
        <v>29</v>
      </c>
      <c r="N497" t="s">
        <v>21</v>
      </c>
      <c r="O497">
        <v>0</v>
      </c>
    </row>
    <row r="498" spans="1:15" x14ac:dyDescent="0.3">
      <c r="A498" t="s">
        <v>543</v>
      </c>
      <c r="B498">
        <v>30</v>
      </c>
      <c r="C498" t="s">
        <v>15</v>
      </c>
      <c r="D498" t="s">
        <v>16</v>
      </c>
      <c r="E498" t="s">
        <v>17</v>
      </c>
      <c r="F498" t="s">
        <v>26</v>
      </c>
      <c r="G498">
        <v>5</v>
      </c>
      <c r="H498">
        <v>6</v>
      </c>
      <c r="I498" t="s">
        <v>33</v>
      </c>
      <c r="J498">
        <v>3.9</v>
      </c>
      <c r="K498" t="s">
        <v>19</v>
      </c>
      <c r="L498">
        <v>65000</v>
      </c>
      <c r="M498" t="s">
        <v>19</v>
      </c>
      <c r="N498" t="s">
        <v>21</v>
      </c>
      <c r="O498">
        <v>0</v>
      </c>
    </row>
    <row r="499" spans="1:15" x14ac:dyDescent="0.3">
      <c r="A499" t="s">
        <v>544</v>
      </c>
      <c r="B499">
        <v>31</v>
      </c>
      <c r="C499" t="s">
        <v>23</v>
      </c>
      <c r="D499" t="s">
        <v>24</v>
      </c>
      <c r="E499" t="s">
        <v>25</v>
      </c>
      <c r="F499" t="s">
        <v>37</v>
      </c>
      <c r="G499">
        <v>4</v>
      </c>
      <c r="H499">
        <v>5</v>
      </c>
      <c r="I499" t="s">
        <v>381</v>
      </c>
      <c r="J499">
        <v>3.5</v>
      </c>
      <c r="K499" t="s">
        <v>48</v>
      </c>
      <c r="L499">
        <v>59000</v>
      </c>
      <c r="M499" t="s">
        <v>29</v>
      </c>
      <c r="N499" t="s">
        <v>21</v>
      </c>
      <c r="O499">
        <v>0</v>
      </c>
    </row>
    <row r="500" spans="1:15" x14ac:dyDescent="0.3">
      <c r="A500" t="s">
        <v>545</v>
      </c>
      <c r="B500">
        <v>29</v>
      </c>
      <c r="C500" t="s">
        <v>15</v>
      </c>
      <c r="D500" t="s">
        <v>16</v>
      </c>
      <c r="E500" t="s">
        <v>31</v>
      </c>
      <c r="F500" t="s">
        <v>42</v>
      </c>
      <c r="G500">
        <v>3</v>
      </c>
      <c r="H500">
        <v>7</v>
      </c>
      <c r="I500" t="s">
        <v>19</v>
      </c>
      <c r="J500">
        <v>3.4</v>
      </c>
      <c r="K500" t="s">
        <v>48</v>
      </c>
      <c r="L500">
        <v>62000</v>
      </c>
      <c r="M500" t="s">
        <v>19</v>
      </c>
      <c r="N500" t="s">
        <v>21</v>
      </c>
      <c r="O500">
        <v>0</v>
      </c>
    </row>
    <row r="501" spans="1:15" x14ac:dyDescent="0.3">
      <c r="A501" t="s">
        <v>546</v>
      </c>
      <c r="B501">
        <v>40</v>
      </c>
      <c r="C501" t="s">
        <v>44</v>
      </c>
      <c r="D501" t="s">
        <v>24</v>
      </c>
      <c r="E501" t="s">
        <v>36</v>
      </c>
      <c r="F501" t="s">
        <v>37</v>
      </c>
      <c r="G501">
        <v>8</v>
      </c>
      <c r="H501">
        <v>6</v>
      </c>
      <c r="I501" t="s">
        <v>33</v>
      </c>
      <c r="J501">
        <v>3.7</v>
      </c>
      <c r="K501" t="s">
        <v>19</v>
      </c>
      <c r="L501">
        <v>48000</v>
      </c>
      <c r="M501" t="s">
        <v>20</v>
      </c>
      <c r="N501" t="s">
        <v>21</v>
      </c>
      <c r="O501">
        <v>0</v>
      </c>
    </row>
    <row r="502" spans="1:15" x14ac:dyDescent="0.3">
      <c r="A502" t="s">
        <v>547</v>
      </c>
      <c r="B502">
        <v>45</v>
      </c>
      <c r="C502" t="s">
        <v>35</v>
      </c>
      <c r="D502" t="s">
        <v>16</v>
      </c>
      <c r="E502" t="s">
        <v>41</v>
      </c>
      <c r="F502" t="s">
        <v>42</v>
      </c>
      <c r="G502">
        <v>11</v>
      </c>
      <c r="H502">
        <v>7</v>
      </c>
      <c r="I502" t="s">
        <v>19</v>
      </c>
      <c r="J502">
        <v>4.0999999999999996</v>
      </c>
      <c r="K502" t="s">
        <v>28</v>
      </c>
      <c r="L502">
        <v>57000</v>
      </c>
      <c r="M502" t="s">
        <v>29</v>
      </c>
      <c r="N502" t="s">
        <v>21</v>
      </c>
      <c r="O502">
        <v>0</v>
      </c>
    </row>
    <row r="503" spans="1:15" x14ac:dyDescent="0.3">
      <c r="A503" t="s">
        <v>548</v>
      </c>
      <c r="B503">
        <v>32</v>
      </c>
      <c r="C503" t="s">
        <v>23</v>
      </c>
      <c r="D503" t="s">
        <v>24</v>
      </c>
      <c r="E503" t="s">
        <v>31</v>
      </c>
      <c r="F503" t="s">
        <v>42</v>
      </c>
      <c r="G503">
        <v>4</v>
      </c>
      <c r="H503">
        <v>5</v>
      </c>
      <c r="I503" t="s">
        <v>381</v>
      </c>
      <c r="J503">
        <v>3.8</v>
      </c>
      <c r="K503" t="s">
        <v>19</v>
      </c>
      <c r="L503">
        <v>70000</v>
      </c>
      <c r="M503" t="s">
        <v>19</v>
      </c>
      <c r="N503" t="s">
        <v>21</v>
      </c>
      <c r="O503">
        <v>0</v>
      </c>
    </row>
    <row r="504" spans="1:15" x14ac:dyDescent="0.3">
      <c r="A504" t="s">
        <v>549</v>
      </c>
      <c r="B504">
        <v>29</v>
      </c>
      <c r="C504" t="s">
        <v>15</v>
      </c>
      <c r="D504" t="s">
        <v>16</v>
      </c>
      <c r="E504" t="s">
        <v>36</v>
      </c>
      <c r="F504" t="s">
        <v>37</v>
      </c>
      <c r="G504">
        <v>4</v>
      </c>
      <c r="H504">
        <v>6</v>
      </c>
      <c r="I504" t="s">
        <v>33</v>
      </c>
      <c r="J504">
        <v>3.5</v>
      </c>
      <c r="K504" t="s">
        <v>48</v>
      </c>
      <c r="L504">
        <v>75000</v>
      </c>
      <c r="M504" t="s">
        <v>51</v>
      </c>
      <c r="N504" t="s">
        <v>21</v>
      </c>
      <c r="O504">
        <v>0</v>
      </c>
    </row>
    <row r="505" spans="1:15" x14ac:dyDescent="0.3">
      <c r="A505" t="s">
        <v>550</v>
      </c>
      <c r="B505">
        <v>33</v>
      </c>
      <c r="C505" t="s">
        <v>23</v>
      </c>
      <c r="D505" t="s">
        <v>24</v>
      </c>
      <c r="E505" t="s">
        <v>45</v>
      </c>
      <c r="F505" t="s">
        <v>32</v>
      </c>
      <c r="G505">
        <v>6</v>
      </c>
      <c r="H505">
        <v>6</v>
      </c>
      <c r="I505" t="s">
        <v>33</v>
      </c>
      <c r="J505">
        <v>3.8</v>
      </c>
      <c r="K505" t="s">
        <v>19</v>
      </c>
      <c r="L505">
        <v>42000</v>
      </c>
      <c r="M505" t="s">
        <v>20</v>
      </c>
      <c r="N505" t="s">
        <v>21</v>
      </c>
      <c r="O505">
        <v>0</v>
      </c>
    </row>
    <row r="506" spans="1:15" x14ac:dyDescent="0.3">
      <c r="A506" t="s">
        <v>551</v>
      </c>
      <c r="B506">
        <v>37</v>
      </c>
      <c r="C506" t="s">
        <v>44</v>
      </c>
      <c r="D506" t="s">
        <v>16</v>
      </c>
      <c r="E506" t="s">
        <v>25</v>
      </c>
      <c r="F506" t="s">
        <v>37</v>
      </c>
      <c r="G506">
        <v>7</v>
      </c>
      <c r="H506">
        <v>7</v>
      </c>
      <c r="I506" t="s">
        <v>19</v>
      </c>
      <c r="J506">
        <v>4.3</v>
      </c>
      <c r="K506" t="s">
        <v>28</v>
      </c>
      <c r="L506">
        <v>76000</v>
      </c>
      <c r="M506" t="s">
        <v>51</v>
      </c>
      <c r="N506" t="s">
        <v>21</v>
      </c>
      <c r="O506">
        <v>0</v>
      </c>
    </row>
    <row r="507" spans="1:15" x14ac:dyDescent="0.3">
      <c r="A507" t="s">
        <v>552</v>
      </c>
      <c r="B507">
        <v>28</v>
      </c>
      <c r="C507" t="s">
        <v>15</v>
      </c>
      <c r="D507" t="s">
        <v>24</v>
      </c>
      <c r="E507" t="s">
        <v>17</v>
      </c>
      <c r="F507" t="s">
        <v>18</v>
      </c>
      <c r="G507">
        <v>2</v>
      </c>
      <c r="H507">
        <v>5</v>
      </c>
      <c r="I507" t="s">
        <v>381</v>
      </c>
      <c r="J507">
        <v>3.2</v>
      </c>
      <c r="K507" t="s">
        <v>48</v>
      </c>
      <c r="L507">
        <v>58000</v>
      </c>
      <c r="M507" t="s">
        <v>29</v>
      </c>
      <c r="N507" t="s">
        <v>21</v>
      </c>
      <c r="O507">
        <v>0</v>
      </c>
    </row>
    <row r="508" spans="1:15" x14ac:dyDescent="0.3">
      <c r="A508" t="s">
        <v>553</v>
      </c>
      <c r="B508">
        <v>34</v>
      </c>
      <c r="C508" t="s">
        <v>23</v>
      </c>
      <c r="D508" t="s">
        <v>16</v>
      </c>
      <c r="E508" t="s">
        <v>36</v>
      </c>
      <c r="F508" t="s">
        <v>37</v>
      </c>
      <c r="G508">
        <v>6</v>
      </c>
      <c r="H508">
        <v>6</v>
      </c>
      <c r="I508" t="s">
        <v>33</v>
      </c>
      <c r="J508">
        <v>3.7</v>
      </c>
      <c r="K508" t="s">
        <v>19</v>
      </c>
      <c r="L508">
        <v>70000</v>
      </c>
      <c r="M508" t="s">
        <v>19</v>
      </c>
      <c r="N508" t="s">
        <v>21</v>
      </c>
      <c r="O508">
        <v>0</v>
      </c>
    </row>
    <row r="509" spans="1:15" x14ac:dyDescent="0.3">
      <c r="A509" t="s">
        <v>554</v>
      </c>
      <c r="B509">
        <v>36</v>
      </c>
      <c r="C509" t="s">
        <v>44</v>
      </c>
      <c r="D509" t="s">
        <v>24</v>
      </c>
      <c r="E509" t="s">
        <v>45</v>
      </c>
      <c r="F509" t="s">
        <v>32</v>
      </c>
      <c r="G509">
        <v>8</v>
      </c>
      <c r="H509">
        <v>7</v>
      </c>
      <c r="I509" t="s">
        <v>19</v>
      </c>
      <c r="J509">
        <v>4</v>
      </c>
      <c r="K509" t="s">
        <v>19</v>
      </c>
      <c r="L509">
        <v>60000</v>
      </c>
      <c r="M509" t="s">
        <v>29</v>
      </c>
      <c r="N509" t="s">
        <v>21</v>
      </c>
      <c r="O509">
        <v>0</v>
      </c>
    </row>
    <row r="510" spans="1:15" x14ac:dyDescent="0.3">
      <c r="A510" t="s">
        <v>555</v>
      </c>
      <c r="B510">
        <v>30</v>
      </c>
      <c r="C510" t="s">
        <v>15</v>
      </c>
      <c r="D510" t="s">
        <v>16</v>
      </c>
      <c r="E510" t="s">
        <v>17</v>
      </c>
      <c r="F510" t="s">
        <v>26</v>
      </c>
      <c r="G510">
        <v>5</v>
      </c>
      <c r="H510">
        <v>6</v>
      </c>
      <c r="I510" t="s">
        <v>33</v>
      </c>
      <c r="J510">
        <v>3.9</v>
      </c>
      <c r="K510" t="s">
        <v>19</v>
      </c>
      <c r="L510">
        <v>65000</v>
      </c>
      <c r="M510" t="s">
        <v>19</v>
      </c>
      <c r="N510" t="s">
        <v>21</v>
      </c>
      <c r="O510">
        <v>0</v>
      </c>
    </row>
    <row r="511" spans="1:15" x14ac:dyDescent="0.3">
      <c r="A511" t="s">
        <v>556</v>
      </c>
      <c r="B511">
        <v>31</v>
      </c>
      <c r="C511" t="s">
        <v>23</v>
      </c>
      <c r="D511" t="s">
        <v>24</v>
      </c>
      <c r="E511" t="s">
        <v>25</v>
      </c>
      <c r="F511" t="s">
        <v>37</v>
      </c>
      <c r="G511">
        <v>4</v>
      </c>
      <c r="H511">
        <v>5</v>
      </c>
      <c r="I511" t="s">
        <v>381</v>
      </c>
      <c r="J511">
        <v>3.5</v>
      </c>
      <c r="K511" t="s">
        <v>48</v>
      </c>
      <c r="L511">
        <v>59000</v>
      </c>
      <c r="M511" t="s">
        <v>29</v>
      </c>
      <c r="N511" t="s">
        <v>21</v>
      </c>
      <c r="O511">
        <v>0</v>
      </c>
    </row>
    <row r="512" spans="1:15" x14ac:dyDescent="0.3">
      <c r="A512" t="s">
        <v>557</v>
      </c>
      <c r="B512">
        <v>29</v>
      </c>
      <c r="C512" t="s">
        <v>15</v>
      </c>
      <c r="D512" t="s">
        <v>16</v>
      </c>
      <c r="E512" t="s">
        <v>31</v>
      </c>
      <c r="F512" t="s">
        <v>42</v>
      </c>
      <c r="G512">
        <v>3</v>
      </c>
      <c r="H512">
        <v>7</v>
      </c>
      <c r="I512" t="s">
        <v>19</v>
      </c>
      <c r="J512">
        <v>3.4</v>
      </c>
      <c r="K512" t="s">
        <v>48</v>
      </c>
      <c r="L512">
        <v>62000</v>
      </c>
      <c r="M512" t="s">
        <v>19</v>
      </c>
      <c r="N512" t="s">
        <v>21</v>
      </c>
      <c r="O512">
        <v>0</v>
      </c>
    </row>
    <row r="513" spans="1:15" x14ac:dyDescent="0.3">
      <c r="A513" t="s">
        <v>558</v>
      </c>
      <c r="B513">
        <v>40</v>
      </c>
      <c r="C513" t="s">
        <v>44</v>
      </c>
      <c r="D513" t="s">
        <v>24</v>
      </c>
      <c r="E513" t="s">
        <v>36</v>
      </c>
      <c r="F513" t="s">
        <v>37</v>
      </c>
      <c r="G513">
        <v>8</v>
      </c>
      <c r="H513">
        <v>6</v>
      </c>
      <c r="I513" t="s">
        <v>33</v>
      </c>
      <c r="J513">
        <v>3.7</v>
      </c>
      <c r="K513" t="s">
        <v>19</v>
      </c>
      <c r="L513">
        <v>48000</v>
      </c>
      <c r="M513" t="s">
        <v>20</v>
      </c>
      <c r="N513" t="s">
        <v>21</v>
      </c>
      <c r="O513">
        <v>0</v>
      </c>
    </row>
    <row r="514" spans="1:15" x14ac:dyDescent="0.3">
      <c r="A514" t="s">
        <v>559</v>
      </c>
      <c r="B514">
        <v>45</v>
      </c>
      <c r="C514" t="s">
        <v>35</v>
      </c>
      <c r="D514" t="s">
        <v>16</v>
      </c>
      <c r="E514" t="s">
        <v>41</v>
      </c>
      <c r="F514" t="s">
        <v>42</v>
      </c>
      <c r="G514">
        <v>11</v>
      </c>
      <c r="H514">
        <v>7</v>
      </c>
      <c r="I514" t="s">
        <v>19</v>
      </c>
      <c r="J514">
        <v>4.0999999999999996</v>
      </c>
      <c r="K514" t="s">
        <v>28</v>
      </c>
      <c r="L514">
        <v>57000</v>
      </c>
      <c r="M514" t="s">
        <v>29</v>
      </c>
      <c r="N514" t="s">
        <v>21</v>
      </c>
      <c r="O514">
        <v>0</v>
      </c>
    </row>
    <row r="515" spans="1:15" x14ac:dyDescent="0.3">
      <c r="A515" t="s">
        <v>560</v>
      </c>
      <c r="B515">
        <v>32</v>
      </c>
      <c r="C515" t="s">
        <v>23</v>
      </c>
      <c r="D515" t="s">
        <v>24</v>
      </c>
      <c r="E515" t="s">
        <v>31</v>
      </c>
      <c r="F515" t="s">
        <v>42</v>
      </c>
      <c r="G515">
        <v>4</v>
      </c>
      <c r="H515">
        <v>5</v>
      </c>
      <c r="I515" t="s">
        <v>381</v>
      </c>
      <c r="J515">
        <v>3.8</v>
      </c>
      <c r="K515" t="s">
        <v>19</v>
      </c>
      <c r="L515">
        <v>70000</v>
      </c>
      <c r="M515" t="s">
        <v>19</v>
      </c>
      <c r="N515" t="s">
        <v>21</v>
      </c>
      <c r="O515">
        <v>0</v>
      </c>
    </row>
    <row r="516" spans="1:15" x14ac:dyDescent="0.3">
      <c r="A516" t="s">
        <v>561</v>
      </c>
      <c r="B516">
        <v>29</v>
      </c>
      <c r="C516" t="s">
        <v>15</v>
      </c>
      <c r="D516" t="s">
        <v>16</v>
      </c>
      <c r="E516" t="s">
        <v>36</v>
      </c>
      <c r="F516" t="s">
        <v>37</v>
      </c>
      <c r="G516">
        <v>4</v>
      </c>
      <c r="H516">
        <v>6</v>
      </c>
      <c r="I516" t="s">
        <v>33</v>
      </c>
      <c r="J516">
        <v>3.5</v>
      </c>
      <c r="K516" t="s">
        <v>48</v>
      </c>
      <c r="L516">
        <v>75000</v>
      </c>
      <c r="M516" t="s">
        <v>51</v>
      </c>
      <c r="N516" t="s">
        <v>21</v>
      </c>
      <c r="O516">
        <v>0</v>
      </c>
    </row>
    <row r="517" spans="1:15" x14ac:dyDescent="0.3">
      <c r="A517" t="s">
        <v>562</v>
      </c>
      <c r="B517">
        <v>33</v>
      </c>
      <c r="C517" t="s">
        <v>23</v>
      </c>
      <c r="D517" t="s">
        <v>24</v>
      </c>
      <c r="E517" t="s">
        <v>45</v>
      </c>
      <c r="F517" t="s">
        <v>32</v>
      </c>
      <c r="G517">
        <v>6</v>
      </c>
      <c r="H517">
        <v>6</v>
      </c>
      <c r="I517" t="s">
        <v>33</v>
      </c>
      <c r="J517">
        <v>3.8</v>
      </c>
      <c r="K517" t="s">
        <v>19</v>
      </c>
      <c r="L517">
        <v>42000</v>
      </c>
      <c r="M517" t="s">
        <v>20</v>
      </c>
      <c r="N517" t="s">
        <v>21</v>
      </c>
      <c r="O517">
        <v>0</v>
      </c>
    </row>
    <row r="518" spans="1:15" x14ac:dyDescent="0.3">
      <c r="A518" t="s">
        <v>563</v>
      </c>
      <c r="B518">
        <v>37</v>
      </c>
      <c r="C518" t="s">
        <v>44</v>
      </c>
      <c r="D518" t="s">
        <v>16</v>
      </c>
      <c r="E518" t="s">
        <v>25</v>
      </c>
      <c r="F518" t="s">
        <v>37</v>
      </c>
      <c r="G518">
        <v>7</v>
      </c>
      <c r="H518">
        <v>7</v>
      </c>
      <c r="I518" t="s">
        <v>19</v>
      </c>
      <c r="J518">
        <v>4.3</v>
      </c>
      <c r="K518" t="s">
        <v>28</v>
      </c>
      <c r="L518">
        <v>76000</v>
      </c>
      <c r="M518" t="s">
        <v>51</v>
      </c>
      <c r="N518" t="s">
        <v>21</v>
      </c>
      <c r="O518">
        <v>0</v>
      </c>
    </row>
    <row r="519" spans="1:15" x14ac:dyDescent="0.3">
      <c r="A519" t="s">
        <v>564</v>
      </c>
      <c r="B519">
        <v>28</v>
      </c>
      <c r="C519" t="s">
        <v>15</v>
      </c>
      <c r="D519" t="s">
        <v>24</v>
      </c>
      <c r="E519" t="s">
        <v>17</v>
      </c>
      <c r="F519" t="s">
        <v>18</v>
      </c>
      <c r="G519">
        <v>2</v>
      </c>
      <c r="H519">
        <v>5</v>
      </c>
      <c r="I519" t="s">
        <v>381</v>
      </c>
      <c r="J519">
        <v>3.2</v>
      </c>
      <c r="K519" t="s">
        <v>48</v>
      </c>
      <c r="L519">
        <v>58000</v>
      </c>
      <c r="M519" t="s">
        <v>29</v>
      </c>
      <c r="N519" t="s">
        <v>21</v>
      </c>
      <c r="O519">
        <v>0</v>
      </c>
    </row>
    <row r="520" spans="1:15" x14ac:dyDescent="0.3">
      <c r="A520" t="s">
        <v>565</v>
      </c>
      <c r="B520">
        <v>34</v>
      </c>
      <c r="C520" t="s">
        <v>23</v>
      </c>
      <c r="D520" t="s">
        <v>16</v>
      </c>
      <c r="E520" t="s">
        <v>36</v>
      </c>
      <c r="F520" t="s">
        <v>37</v>
      </c>
      <c r="G520">
        <v>6</v>
      </c>
      <c r="H520">
        <v>6</v>
      </c>
      <c r="I520" t="s">
        <v>33</v>
      </c>
      <c r="J520">
        <v>3.7</v>
      </c>
      <c r="K520" t="s">
        <v>19</v>
      </c>
      <c r="L520">
        <v>70000</v>
      </c>
      <c r="M520" t="s">
        <v>19</v>
      </c>
      <c r="N520" t="s">
        <v>21</v>
      </c>
      <c r="O520">
        <v>0</v>
      </c>
    </row>
    <row r="521" spans="1:15" x14ac:dyDescent="0.3">
      <c r="A521" t="s">
        <v>566</v>
      </c>
      <c r="B521">
        <v>36</v>
      </c>
      <c r="C521" t="s">
        <v>44</v>
      </c>
      <c r="D521" t="s">
        <v>24</v>
      </c>
      <c r="E521" t="s">
        <v>45</v>
      </c>
      <c r="F521" t="s">
        <v>32</v>
      </c>
      <c r="G521">
        <v>8</v>
      </c>
      <c r="H521">
        <v>7</v>
      </c>
      <c r="I521" t="s">
        <v>19</v>
      </c>
      <c r="J521">
        <v>4</v>
      </c>
      <c r="K521" t="s">
        <v>19</v>
      </c>
      <c r="L521">
        <v>60000</v>
      </c>
      <c r="M521" t="s">
        <v>29</v>
      </c>
      <c r="N521" t="s">
        <v>21</v>
      </c>
      <c r="O521">
        <v>0</v>
      </c>
    </row>
    <row r="522" spans="1:15" x14ac:dyDescent="0.3">
      <c r="A522" t="s">
        <v>567</v>
      </c>
      <c r="B522">
        <v>30</v>
      </c>
      <c r="C522" t="s">
        <v>15</v>
      </c>
      <c r="D522" t="s">
        <v>16</v>
      </c>
      <c r="E522" t="s">
        <v>17</v>
      </c>
      <c r="F522" t="s">
        <v>26</v>
      </c>
      <c r="G522">
        <v>5</v>
      </c>
      <c r="H522">
        <v>6</v>
      </c>
      <c r="I522" t="s">
        <v>33</v>
      </c>
      <c r="J522">
        <v>3.9</v>
      </c>
      <c r="K522" t="s">
        <v>19</v>
      </c>
      <c r="L522">
        <v>65000</v>
      </c>
      <c r="M522" t="s">
        <v>19</v>
      </c>
      <c r="N522" t="s">
        <v>21</v>
      </c>
      <c r="O522">
        <v>0</v>
      </c>
    </row>
    <row r="523" spans="1:15" x14ac:dyDescent="0.3">
      <c r="A523" t="s">
        <v>568</v>
      </c>
      <c r="B523">
        <v>31</v>
      </c>
      <c r="C523" t="s">
        <v>23</v>
      </c>
      <c r="D523" t="s">
        <v>24</v>
      </c>
      <c r="E523" t="s">
        <v>25</v>
      </c>
      <c r="F523" t="s">
        <v>37</v>
      </c>
      <c r="G523">
        <v>4</v>
      </c>
      <c r="H523">
        <v>5</v>
      </c>
      <c r="I523" t="s">
        <v>381</v>
      </c>
      <c r="J523">
        <v>3.5</v>
      </c>
      <c r="K523" t="s">
        <v>48</v>
      </c>
      <c r="L523">
        <v>59000</v>
      </c>
      <c r="M523" t="s">
        <v>29</v>
      </c>
      <c r="N523" t="s">
        <v>21</v>
      </c>
      <c r="O523">
        <v>0</v>
      </c>
    </row>
    <row r="524" spans="1:15" x14ac:dyDescent="0.3">
      <c r="A524" t="s">
        <v>569</v>
      </c>
      <c r="B524">
        <v>29</v>
      </c>
      <c r="C524" t="s">
        <v>15</v>
      </c>
      <c r="D524" t="s">
        <v>16</v>
      </c>
      <c r="E524" t="s">
        <v>31</v>
      </c>
      <c r="F524" t="s">
        <v>42</v>
      </c>
      <c r="G524">
        <v>3</v>
      </c>
      <c r="H524">
        <v>7</v>
      </c>
      <c r="I524" t="s">
        <v>19</v>
      </c>
      <c r="J524">
        <v>3.4</v>
      </c>
      <c r="K524" t="s">
        <v>48</v>
      </c>
      <c r="L524">
        <v>62000</v>
      </c>
      <c r="M524" t="s">
        <v>19</v>
      </c>
      <c r="N524" t="s">
        <v>21</v>
      </c>
      <c r="O524">
        <v>0</v>
      </c>
    </row>
    <row r="525" spans="1:15" x14ac:dyDescent="0.3">
      <c r="A525" t="s">
        <v>570</v>
      </c>
      <c r="B525">
        <v>40</v>
      </c>
      <c r="C525" t="s">
        <v>44</v>
      </c>
      <c r="D525" t="s">
        <v>24</v>
      </c>
      <c r="E525" t="s">
        <v>36</v>
      </c>
      <c r="F525" t="s">
        <v>37</v>
      </c>
      <c r="G525">
        <v>8</v>
      </c>
      <c r="H525">
        <v>6</v>
      </c>
      <c r="I525" t="s">
        <v>33</v>
      </c>
      <c r="J525">
        <v>3.7</v>
      </c>
      <c r="K525" t="s">
        <v>19</v>
      </c>
      <c r="L525">
        <v>48000</v>
      </c>
      <c r="M525" t="s">
        <v>20</v>
      </c>
      <c r="N525" t="s">
        <v>21</v>
      </c>
      <c r="O525">
        <v>0</v>
      </c>
    </row>
    <row r="526" spans="1:15" x14ac:dyDescent="0.3">
      <c r="A526" t="s">
        <v>571</v>
      </c>
      <c r="B526">
        <v>45</v>
      </c>
      <c r="C526" t="s">
        <v>35</v>
      </c>
      <c r="D526" t="s">
        <v>16</v>
      </c>
      <c r="E526" t="s">
        <v>41</v>
      </c>
      <c r="F526" t="s">
        <v>42</v>
      </c>
      <c r="G526">
        <v>11</v>
      </c>
      <c r="H526">
        <v>7</v>
      </c>
      <c r="I526" t="s">
        <v>19</v>
      </c>
      <c r="J526">
        <v>4.0999999999999996</v>
      </c>
      <c r="K526" t="s">
        <v>28</v>
      </c>
      <c r="L526">
        <v>57000</v>
      </c>
      <c r="M526" t="s">
        <v>29</v>
      </c>
      <c r="N526" t="s">
        <v>21</v>
      </c>
      <c r="O526">
        <v>0</v>
      </c>
    </row>
    <row r="527" spans="1:15" x14ac:dyDescent="0.3">
      <c r="A527" t="s">
        <v>572</v>
      </c>
      <c r="B527">
        <v>32</v>
      </c>
      <c r="C527" t="s">
        <v>23</v>
      </c>
      <c r="D527" t="s">
        <v>24</v>
      </c>
      <c r="E527" t="s">
        <v>31</v>
      </c>
      <c r="F527" t="s">
        <v>42</v>
      </c>
      <c r="G527">
        <v>4</v>
      </c>
      <c r="H527">
        <v>5</v>
      </c>
      <c r="I527" t="s">
        <v>381</v>
      </c>
      <c r="J527">
        <v>3.8</v>
      </c>
      <c r="K527" t="s">
        <v>19</v>
      </c>
      <c r="L527">
        <v>70000</v>
      </c>
      <c r="M527" t="s">
        <v>19</v>
      </c>
      <c r="N527" t="s">
        <v>21</v>
      </c>
      <c r="O527">
        <v>0</v>
      </c>
    </row>
    <row r="528" spans="1:15" x14ac:dyDescent="0.3">
      <c r="A528" t="s">
        <v>573</v>
      </c>
      <c r="B528">
        <v>29</v>
      </c>
      <c r="C528" t="s">
        <v>15</v>
      </c>
      <c r="D528" t="s">
        <v>16</v>
      </c>
      <c r="E528" t="s">
        <v>36</v>
      </c>
      <c r="F528" t="s">
        <v>37</v>
      </c>
      <c r="G528">
        <v>4</v>
      </c>
      <c r="H528">
        <v>6</v>
      </c>
      <c r="I528" t="s">
        <v>33</v>
      </c>
      <c r="J528">
        <v>3.5</v>
      </c>
      <c r="K528" t="s">
        <v>48</v>
      </c>
      <c r="L528">
        <v>75000</v>
      </c>
      <c r="M528" t="s">
        <v>51</v>
      </c>
      <c r="N528" t="s">
        <v>21</v>
      </c>
      <c r="O528">
        <v>0</v>
      </c>
    </row>
    <row r="529" spans="1:15" x14ac:dyDescent="0.3">
      <c r="A529" t="s">
        <v>574</v>
      </c>
      <c r="B529">
        <v>33</v>
      </c>
      <c r="C529" t="s">
        <v>23</v>
      </c>
      <c r="D529" t="s">
        <v>24</v>
      </c>
      <c r="E529" t="s">
        <v>45</v>
      </c>
      <c r="F529" t="s">
        <v>32</v>
      </c>
      <c r="G529">
        <v>6</v>
      </c>
      <c r="H529">
        <v>6</v>
      </c>
      <c r="I529" t="s">
        <v>33</v>
      </c>
      <c r="J529">
        <v>3.8</v>
      </c>
      <c r="K529" t="s">
        <v>19</v>
      </c>
      <c r="L529">
        <v>42000</v>
      </c>
      <c r="M529" t="s">
        <v>20</v>
      </c>
      <c r="N529" t="s">
        <v>21</v>
      </c>
      <c r="O529">
        <v>0</v>
      </c>
    </row>
    <row r="530" spans="1:15" x14ac:dyDescent="0.3">
      <c r="A530" t="s">
        <v>575</v>
      </c>
      <c r="B530">
        <v>37</v>
      </c>
      <c r="C530" t="s">
        <v>44</v>
      </c>
      <c r="D530" t="s">
        <v>16</v>
      </c>
      <c r="E530" t="s">
        <v>25</v>
      </c>
      <c r="F530" t="s">
        <v>37</v>
      </c>
      <c r="G530">
        <v>7</v>
      </c>
      <c r="H530">
        <v>7</v>
      </c>
      <c r="I530" t="s">
        <v>19</v>
      </c>
      <c r="J530">
        <v>4.3</v>
      </c>
      <c r="K530" t="s">
        <v>28</v>
      </c>
      <c r="L530">
        <v>76000</v>
      </c>
      <c r="M530" t="s">
        <v>51</v>
      </c>
      <c r="N530" t="s">
        <v>21</v>
      </c>
      <c r="O530">
        <v>0</v>
      </c>
    </row>
    <row r="531" spans="1:15" x14ac:dyDescent="0.3">
      <c r="A531" t="s">
        <v>576</v>
      </c>
      <c r="B531">
        <v>28</v>
      </c>
      <c r="C531" t="s">
        <v>15</v>
      </c>
      <c r="D531" t="s">
        <v>24</v>
      </c>
      <c r="E531" t="s">
        <v>17</v>
      </c>
      <c r="F531" t="s">
        <v>18</v>
      </c>
      <c r="G531">
        <v>2</v>
      </c>
      <c r="H531">
        <v>5</v>
      </c>
      <c r="I531" t="s">
        <v>381</v>
      </c>
      <c r="J531">
        <v>3.2</v>
      </c>
      <c r="K531" t="s">
        <v>48</v>
      </c>
      <c r="L531">
        <v>58000</v>
      </c>
      <c r="M531" t="s">
        <v>29</v>
      </c>
      <c r="N531" t="s">
        <v>21</v>
      </c>
      <c r="O531">
        <v>0</v>
      </c>
    </row>
    <row r="532" spans="1:15" x14ac:dyDescent="0.3">
      <c r="A532" t="s">
        <v>577</v>
      </c>
      <c r="B532">
        <v>33</v>
      </c>
      <c r="C532" t="s">
        <v>23</v>
      </c>
      <c r="D532" t="s">
        <v>16</v>
      </c>
      <c r="E532" t="s">
        <v>17</v>
      </c>
      <c r="F532" t="s">
        <v>18</v>
      </c>
      <c r="G532">
        <v>4</v>
      </c>
      <c r="H532">
        <v>5</v>
      </c>
      <c r="I532" t="s">
        <v>381</v>
      </c>
      <c r="J532">
        <v>3.6</v>
      </c>
      <c r="K532" t="s">
        <v>19</v>
      </c>
      <c r="L532">
        <v>60000</v>
      </c>
      <c r="M532" t="s">
        <v>29</v>
      </c>
      <c r="N532" t="s">
        <v>39</v>
      </c>
      <c r="O532">
        <v>1</v>
      </c>
    </row>
    <row r="533" spans="1:15" x14ac:dyDescent="0.3">
      <c r="A533" t="s">
        <v>578</v>
      </c>
      <c r="B533">
        <v>35</v>
      </c>
      <c r="C533" t="s">
        <v>23</v>
      </c>
      <c r="D533" t="s">
        <v>24</v>
      </c>
      <c r="E533" t="s">
        <v>31</v>
      </c>
      <c r="F533" t="s">
        <v>42</v>
      </c>
      <c r="G533">
        <v>7</v>
      </c>
      <c r="H533">
        <v>5</v>
      </c>
      <c r="I533" t="s">
        <v>381</v>
      </c>
      <c r="J533">
        <v>3.5</v>
      </c>
      <c r="K533" t="s">
        <v>48</v>
      </c>
      <c r="L533">
        <v>58000</v>
      </c>
      <c r="M533" t="s">
        <v>29</v>
      </c>
      <c r="N533" t="s">
        <v>21</v>
      </c>
      <c r="O533">
        <v>0</v>
      </c>
    </row>
    <row r="534" spans="1:15" x14ac:dyDescent="0.3">
      <c r="A534" t="s">
        <v>579</v>
      </c>
      <c r="B534">
        <v>28</v>
      </c>
      <c r="C534" t="s">
        <v>15</v>
      </c>
      <c r="D534" t="s">
        <v>16</v>
      </c>
      <c r="E534" t="s">
        <v>25</v>
      </c>
      <c r="F534" t="s">
        <v>37</v>
      </c>
      <c r="G534">
        <v>3</v>
      </c>
      <c r="H534">
        <v>5</v>
      </c>
      <c r="I534" t="s">
        <v>381</v>
      </c>
      <c r="J534">
        <v>3.8</v>
      </c>
      <c r="K534" t="s">
        <v>19</v>
      </c>
      <c r="L534">
        <v>70000</v>
      </c>
      <c r="M534" t="s">
        <v>19</v>
      </c>
      <c r="N534" t="s">
        <v>39</v>
      </c>
      <c r="O534">
        <v>1</v>
      </c>
    </row>
    <row r="535" spans="1:15" x14ac:dyDescent="0.3">
      <c r="A535" t="s">
        <v>580</v>
      </c>
      <c r="B535">
        <v>39</v>
      </c>
      <c r="C535" t="s">
        <v>44</v>
      </c>
      <c r="D535" t="s">
        <v>24</v>
      </c>
      <c r="E535" t="s">
        <v>36</v>
      </c>
      <c r="F535" t="s">
        <v>37</v>
      </c>
      <c r="G535">
        <v>9</v>
      </c>
      <c r="H535">
        <v>5</v>
      </c>
      <c r="I535" t="s">
        <v>381</v>
      </c>
      <c r="J535">
        <v>3.4</v>
      </c>
      <c r="K535" t="s">
        <v>48</v>
      </c>
      <c r="L535">
        <v>75000</v>
      </c>
      <c r="M535" t="s">
        <v>51</v>
      </c>
      <c r="N535" t="s">
        <v>21</v>
      </c>
      <c r="O535">
        <v>0</v>
      </c>
    </row>
    <row r="536" spans="1:15" x14ac:dyDescent="0.3">
      <c r="A536" t="s">
        <v>581</v>
      </c>
      <c r="B536">
        <v>40</v>
      </c>
      <c r="C536" t="s">
        <v>44</v>
      </c>
      <c r="D536" t="s">
        <v>16</v>
      </c>
      <c r="E536" t="s">
        <v>41</v>
      </c>
      <c r="F536" t="s">
        <v>42</v>
      </c>
      <c r="G536">
        <v>10</v>
      </c>
      <c r="H536">
        <v>5</v>
      </c>
      <c r="I536" t="s">
        <v>381</v>
      </c>
      <c r="J536">
        <v>4.0999999999999996</v>
      </c>
      <c r="K536" t="s">
        <v>28</v>
      </c>
      <c r="L536">
        <v>65000</v>
      </c>
      <c r="M536" t="s">
        <v>19</v>
      </c>
      <c r="N536" t="s">
        <v>39</v>
      </c>
      <c r="O536">
        <v>1</v>
      </c>
    </row>
    <row r="537" spans="1:15" x14ac:dyDescent="0.3">
      <c r="A537" t="s">
        <v>582</v>
      </c>
      <c r="B537">
        <v>27</v>
      </c>
      <c r="C537" t="s">
        <v>15</v>
      </c>
      <c r="D537" t="s">
        <v>24</v>
      </c>
      <c r="E537" t="s">
        <v>45</v>
      </c>
      <c r="F537" t="s">
        <v>32</v>
      </c>
      <c r="G537">
        <v>2</v>
      </c>
      <c r="H537">
        <v>5</v>
      </c>
      <c r="I537" t="s">
        <v>381</v>
      </c>
      <c r="J537">
        <v>3.7</v>
      </c>
      <c r="K537" t="s">
        <v>19</v>
      </c>
      <c r="L537">
        <v>60000</v>
      </c>
      <c r="M537" t="s">
        <v>29</v>
      </c>
      <c r="N537" t="s">
        <v>21</v>
      </c>
      <c r="O537">
        <v>0</v>
      </c>
    </row>
    <row r="538" spans="1:15" x14ac:dyDescent="0.3">
      <c r="A538" t="s">
        <v>583</v>
      </c>
      <c r="B538">
        <v>42</v>
      </c>
      <c r="C538" t="s">
        <v>35</v>
      </c>
      <c r="D538" t="s">
        <v>16</v>
      </c>
      <c r="E538" t="s">
        <v>17</v>
      </c>
      <c r="F538" t="s">
        <v>26</v>
      </c>
      <c r="G538">
        <v>11</v>
      </c>
      <c r="H538">
        <v>5</v>
      </c>
      <c r="I538" t="s">
        <v>381</v>
      </c>
      <c r="J538">
        <v>4</v>
      </c>
      <c r="K538" t="s">
        <v>19</v>
      </c>
      <c r="L538">
        <v>64000</v>
      </c>
      <c r="M538" t="s">
        <v>19</v>
      </c>
      <c r="N538" t="s">
        <v>39</v>
      </c>
      <c r="O538">
        <v>1</v>
      </c>
    </row>
    <row r="539" spans="1:15" x14ac:dyDescent="0.3">
      <c r="A539" t="s">
        <v>584</v>
      </c>
      <c r="B539">
        <v>29</v>
      </c>
      <c r="C539" t="s">
        <v>15</v>
      </c>
      <c r="D539" t="s">
        <v>24</v>
      </c>
      <c r="E539" t="s">
        <v>31</v>
      </c>
      <c r="F539" t="s">
        <v>42</v>
      </c>
      <c r="G539">
        <v>3</v>
      </c>
      <c r="H539">
        <v>5</v>
      </c>
      <c r="I539" t="s">
        <v>381</v>
      </c>
      <c r="J539">
        <v>3.9</v>
      </c>
      <c r="K539" t="s">
        <v>19</v>
      </c>
      <c r="L539">
        <v>61000</v>
      </c>
      <c r="M539" t="s">
        <v>19</v>
      </c>
      <c r="N539" t="s">
        <v>21</v>
      </c>
      <c r="O539">
        <v>0</v>
      </c>
    </row>
    <row r="540" spans="1:15" x14ac:dyDescent="0.3">
      <c r="A540" t="s">
        <v>585</v>
      </c>
      <c r="B540">
        <v>31</v>
      </c>
      <c r="C540" t="s">
        <v>23</v>
      </c>
      <c r="D540" t="s">
        <v>16</v>
      </c>
      <c r="E540" t="s">
        <v>36</v>
      </c>
      <c r="F540" t="s">
        <v>37</v>
      </c>
      <c r="G540">
        <v>5</v>
      </c>
      <c r="H540">
        <v>5</v>
      </c>
      <c r="I540" t="s">
        <v>381</v>
      </c>
      <c r="J540">
        <v>3.5</v>
      </c>
      <c r="K540" t="s">
        <v>48</v>
      </c>
      <c r="L540">
        <v>59000</v>
      </c>
      <c r="M540" t="s">
        <v>29</v>
      </c>
      <c r="N540" t="s">
        <v>39</v>
      </c>
      <c r="O540">
        <v>1</v>
      </c>
    </row>
    <row r="541" spans="1:15" x14ac:dyDescent="0.3">
      <c r="A541" t="s">
        <v>586</v>
      </c>
      <c r="B541">
        <v>33</v>
      </c>
      <c r="C541" t="s">
        <v>23</v>
      </c>
      <c r="D541" t="s">
        <v>24</v>
      </c>
      <c r="E541" t="s">
        <v>45</v>
      </c>
      <c r="F541" t="s">
        <v>32</v>
      </c>
      <c r="G541">
        <v>6</v>
      </c>
      <c r="H541">
        <v>5</v>
      </c>
      <c r="I541" t="s">
        <v>381</v>
      </c>
      <c r="J541">
        <v>3.8</v>
      </c>
      <c r="K541" t="s">
        <v>19</v>
      </c>
      <c r="L541">
        <v>61000</v>
      </c>
      <c r="M541" t="s">
        <v>19</v>
      </c>
      <c r="N541" t="s">
        <v>21</v>
      </c>
      <c r="O541">
        <v>0</v>
      </c>
    </row>
    <row r="542" spans="1:15" x14ac:dyDescent="0.3">
      <c r="A542" t="s">
        <v>587</v>
      </c>
      <c r="B542">
        <v>37</v>
      </c>
      <c r="C542" t="s">
        <v>44</v>
      </c>
      <c r="D542" t="s">
        <v>16</v>
      </c>
      <c r="E542" t="s">
        <v>25</v>
      </c>
      <c r="F542" t="s">
        <v>37</v>
      </c>
      <c r="G542">
        <v>7</v>
      </c>
      <c r="H542">
        <v>5</v>
      </c>
      <c r="I542" t="s">
        <v>381</v>
      </c>
      <c r="J542">
        <v>4.3</v>
      </c>
      <c r="K542" t="s">
        <v>28</v>
      </c>
      <c r="L542">
        <v>76000</v>
      </c>
      <c r="M542" t="s">
        <v>51</v>
      </c>
      <c r="N542" t="s">
        <v>39</v>
      </c>
      <c r="O542">
        <v>1</v>
      </c>
    </row>
    <row r="543" spans="1:15" x14ac:dyDescent="0.3">
      <c r="A543" t="s">
        <v>588</v>
      </c>
      <c r="B543">
        <v>28</v>
      </c>
      <c r="C543" t="s">
        <v>15</v>
      </c>
      <c r="D543" t="s">
        <v>24</v>
      </c>
      <c r="E543" t="s">
        <v>17</v>
      </c>
      <c r="F543" t="s">
        <v>18</v>
      </c>
      <c r="G543">
        <v>2</v>
      </c>
      <c r="H543">
        <v>5</v>
      </c>
      <c r="I543" t="s">
        <v>381</v>
      </c>
      <c r="J543">
        <v>3.2</v>
      </c>
      <c r="K543" t="s">
        <v>48</v>
      </c>
      <c r="L543">
        <v>58000</v>
      </c>
      <c r="M543" t="s">
        <v>29</v>
      </c>
      <c r="N543" t="s">
        <v>21</v>
      </c>
      <c r="O543">
        <v>0</v>
      </c>
    </row>
    <row r="544" spans="1:15" x14ac:dyDescent="0.3">
      <c r="A544" t="s">
        <v>589</v>
      </c>
      <c r="B544">
        <v>34</v>
      </c>
      <c r="C544" t="s">
        <v>23</v>
      </c>
      <c r="D544" t="s">
        <v>16</v>
      </c>
      <c r="E544" t="s">
        <v>36</v>
      </c>
      <c r="F544" t="s">
        <v>37</v>
      </c>
      <c r="G544">
        <v>6</v>
      </c>
      <c r="H544">
        <v>5</v>
      </c>
      <c r="I544" t="s">
        <v>381</v>
      </c>
      <c r="J544">
        <v>3.7</v>
      </c>
      <c r="K544" t="s">
        <v>19</v>
      </c>
      <c r="L544">
        <v>70000</v>
      </c>
      <c r="M544" t="s">
        <v>19</v>
      </c>
      <c r="N544" t="s">
        <v>39</v>
      </c>
      <c r="O544">
        <v>1</v>
      </c>
    </row>
    <row r="545" spans="1:15" x14ac:dyDescent="0.3">
      <c r="A545" t="s">
        <v>590</v>
      </c>
      <c r="B545">
        <v>36</v>
      </c>
      <c r="C545" t="s">
        <v>44</v>
      </c>
      <c r="D545" t="s">
        <v>24</v>
      </c>
      <c r="E545" t="s">
        <v>45</v>
      </c>
      <c r="F545" t="s">
        <v>32</v>
      </c>
      <c r="G545">
        <v>8</v>
      </c>
      <c r="H545">
        <v>5</v>
      </c>
      <c r="I545" t="s">
        <v>381</v>
      </c>
      <c r="J545">
        <v>4</v>
      </c>
      <c r="K545" t="s">
        <v>19</v>
      </c>
      <c r="L545">
        <v>60000</v>
      </c>
      <c r="M545" t="s">
        <v>29</v>
      </c>
      <c r="N545" t="s">
        <v>21</v>
      </c>
      <c r="O545">
        <v>0</v>
      </c>
    </row>
    <row r="546" spans="1:15" x14ac:dyDescent="0.3">
      <c r="A546" t="s">
        <v>591</v>
      </c>
      <c r="B546">
        <v>30</v>
      </c>
      <c r="C546" t="s">
        <v>15</v>
      </c>
      <c r="D546" t="s">
        <v>16</v>
      </c>
      <c r="E546" t="s">
        <v>17</v>
      </c>
      <c r="F546" t="s">
        <v>26</v>
      </c>
      <c r="G546">
        <v>5</v>
      </c>
      <c r="H546">
        <v>5</v>
      </c>
      <c r="I546" t="s">
        <v>381</v>
      </c>
      <c r="J546">
        <v>3.9</v>
      </c>
      <c r="K546" t="s">
        <v>19</v>
      </c>
      <c r="L546">
        <v>70000</v>
      </c>
      <c r="M546" t="s">
        <v>19</v>
      </c>
      <c r="N546" t="s">
        <v>39</v>
      </c>
      <c r="O546">
        <v>1</v>
      </c>
    </row>
    <row r="547" spans="1:15" x14ac:dyDescent="0.3">
      <c r="A547" t="s">
        <v>592</v>
      </c>
      <c r="B547">
        <v>31</v>
      </c>
      <c r="C547" t="s">
        <v>23</v>
      </c>
      <c r="D547" t="s">
        <v>24</v>
      </c>
      <c r="E547" t="s">
        <v>25</v>
      </c>
      <c r="F547" t="s">
        <v>37</v>
      </c>
      <c r="G547">
        <v>4</v>
      </c>
      <c r="H547">
        <v>5</v>
      </c>
      <c r="I547" t="s">
        <v>381</v>
      </c>
      <c r="J547">
        <v>3.5</v>
      </c>
      <c r="K547" t="s">
        <v>48</v>
      </c>
      <c r="L547">
        <v>75000</v>
      </c>
      <c r="M547" t="s">
        <v>51</v>
      </c>
      <c r="N547" t="s">
        <v>21</v>
      </c>
      <c r="O547">
        <v>0</v>
      </c>
    </row>
    <row r="548" spans="1:15" x14ac:dyDescent="0.3">
      <c r="A548" t="s">
        <v>593</v>
      </c>
      <c r="B548">
        <v>29</v>
      </c>
      <c r="C548" t="s">
        <v>15</v>
      </c>
      <c r="D548" t="s">
        <v>16</v>
      </c>
      <c r="E548" t="s">
        <v>31</v>
      </c>
      <c r="F548" t="s">
        <v>42</v>
      </c>
      <c r="G548">
        <v>3</v>
      </c>
      <c r="H548">
        <v>5</v>
      </c>
      <c r="I548" t="s">
        <v>381</v>
      </c>
      <c r="J548">
        <v>3.4</v>
      </c>
      <c r="K548" t="s">
        <v>48</v>
      </c>
      <c r="L548">
        <v>59000</v>
      </c>
      <c r="M548" t="s">
        <v>29</v>
      </c>
      <c r="N548" t="s">
        <v>39</v>
      </c>
      <c r="O548">
        <v>1</v>
      </c>
    </row>
    <row r="549" spans="1:15" x14ac:dyDescent="0.3">
      <c r="A549" t="s">
        <v>594</v>
      </c>
      <c r="B549">
        <v>40</v>
      </c>
      <c r="C549" t="s">
        <v>44</v>
      </c>
      <c r="D549" t="s">
        <v>24</v>
      </c>
      <c r="E549" t="s">
        <v>36</v>
      </c>
      <c r="F549" t="s">
        <v>37</v>
      </c>
      <c r="G549">
        <v>8</v>
      </c>
      <c r="H549">
        <v>5</v>
      </c>
      <c r="I549" t="s">
        <v>381</v>
      </c>
      <c r="J549">
        <v>3.7</v>
      </c>
      <c r="K549" t="s">
        <v>19</v>
      </c>
      <c r="L549">
        <v>70000</v>
      </c>
      <c r="M549" t="s">
        <v>19</v>
      </c>
      <c r="N549" t="s">
        <v>21</v>
      </c>
      <c r="O549">
        <v>0</v>
      </c>
    </row>
    <row r="550" spans="1:15" x14ac:dyDescent="0.3">
      <c r="A550" t="s">
        <v>595</v>
      </c>
      <c r="B550">
        <v>45</v>
      </c>
      <c r="C550" t="s">
        <v>35</v>
      </c>
      <c r="D550" t="s">
        <v>16</v>
      </c>
      <c r="E550" t="s">
        <v>41</v>
      </c>
      <c r="F550" t="s">
        <v>42</v>
      </c>
      <c r="G550">
        <v>11</v>
      </c>
      <c r="H550">
        <v>5</v>
      </c>
      <c r="I550" t="s">
        <v>381</v>
      </c>
      <c r="J550">
        <v>4.0999999999999996</v>
      </c>
      <c r="K550" t="s">
        <v>28</v>
      </c>
      <c r="L550">
        <v>59000</v>
      </c>
      <c r="M550" t="s">
        <v>29</v>
      </c>
      <c r="N550" t="s">
        <v>39</v>
      </c>
      <c r="O550">
        <v>1</v>
      </c>
    </row>
    <row r="551" spans="1:15" x14ac:dyDescent="0.3">
      <c r="A551" t="s">
        <v>596</v>
      </c>
      <c r="B551">
        <v>32</v>
      </c>
      <c r="C551" t="s">
        <v>23</v>
      </c>
      <c r="D551" t="s">
        <v>24</v>
      </c>
      <c r="E551" t="s">
        <v>31</v>
      </c>
      <c r="F551" t="s">
        <v>42</v>
      </c>
      <c r="G551">
        <v>4</v>
      </c>
      <c r="H551">
        <v>5</v>
      </c>
      <c r="I551" t="s">
        <v>381</v>
      </c>
      <c r="J551">
        <v>3.8</v>
      </c>
      <c r="K551" t="s">
        <v>19</v>
      </c>
      <c r="L551">
        <v>73000</v>
      </c>
      <c r="M551" t="s">
        <v>51</v>
      </c>
      <c r="N551" t="s">
        <v>21</v>
      </c>
      <c r="O551">
        <v>0</v>
      </c>
    </row>
    <row r="552" spans="1:15" x14ac:dyDescent="0.3">
      <c r="A552" t="s">
        <v>597</v>
      </c>
      <c r="B552">
        <v>29</v>
      </c>
      <c r="C552" t="s">
        <v>15</v>
      </c>
      <c r="D552" t="s">
        <v>16</v>
      </c>
      <c r="E552" t="s">
        <v>36</v>
      </c>
      <c r="F552" t="s">
        <v>37</v>
      </c>
      <c r="G552">
        <v>4</v>
      </c>
      <c r="H552">
        <v>5</v>
      </c>
      <c r="I552" t="s">
        <v>381</v>
      </c>
      <c r="J552">
        <v>3.5</v>
      </c>
      <c r="K552" t="s">
        <v>48</v>
      </c>
      <c r="L552">
        <v>75000</v>
      </c>
      <c r="M552" t="s">
        <v>51</v>
      </c>
      <c r="N552" t="s">
        <v>39</v>
      </c>
      <c r="O552">
        <v>1</v>
      </c>
    </row>
    <row r="553" spans="1:15" x14ac:dyDescent="0.3">
      <c r="A553" t="s">
        <v>598</v>
      </c>
      <c r="B553">
        <v>33</v>
      </c>
      <c r="C553" t="s">
        <v>23</v>
      </c>
      <c r="D553" t="s">
        <v>24</v>
      </c>
      <c r="E553" t="s">
        <v>45</v>
      </c>
      <c r="F553" t="s">
        <v>32</v>
      </c>
      <c r="G553">
        <v>6</v>
      </c>
      <c r="H553">
        <v>5</v>
      </c>
      <c r="I553" t="s">
        <v>381</v>
      </c>
      <c r="J553">
        <v>3.8</v>
      </c>
      <c r="K553" t="s">
        <v>19</v>
      </c>
      <c r="L553">
        <v>42000</v>
      </c>
      <c r="M553" t="s">
        <v>20</v>
      </c>
      <c r="N553" t="s">
        <v>21</v>
      </c>
      <c r="O553">
        <v>0</v>
      </c>
    </row>
    <row r="554" spans="1:15" x14ac:dyDescent="0.3">
      <c r="A554" t="s">
        <v>599</v>
      </c>
      <c r="B554">
        <v>37</v>
      </c>
      <c r="C554" t="s">
        <v>44</v>
      </c>
      <c r="D554" t="s">
        <v>16</v>
      </c>
      <c r="E554" t="s">
        <v>25</v>
      </c>
      <c r="F554" t="s">
        <v>37</v>
      </c>
      <c r="G554">
        <v>7</v>
      </c>
      <c r="H554">
        <v>5</v>
      </c>
      <c r="I554" t="s">
        <v>381</v>
      </c>
      <c r="J554">
        <v>4.3</v>
      </c>
      <c r="K554" t="s">
        <v>28</v>
      </c>
      <c r="L554">
        <v>76000</v>
      </c>
      <c r="M554" t="s">
        <v>51</v>
      </c>
      <c r="N554" t="s">
        <v>39</v>
      </c>
      <c r="O554">
        <v>1</v>
      </c>
    </row>
    <row r="555" spans="1:15" x14ac:dyDescent="0.3">
      <c r="A555" t="s">
        <v>600</v>
      </c>
      <c r="B555">
        <v>28</v>
      </c>
      <c r="C555" t="s">
        <v>15</v>
      </c>
      <c r="D555" t="s">
        <v>24</v>
      </c>
      <c r="E555" t="s">
        <v>17</v>
      </c>
      <c r="F555" t="s">
        <v>18</v>
      </c>
      <c r="G555">
        <v>2</v>
      </c>
      <c r="H555">
        <v>5</v>
      </c>
      <c r="I555" t="s">
        <v>381</v>
      </c>
      <c r="J555">
        <v>3.2</v>
      </c>
      <c r="K555" t="s">
        <v>48</v>
      </c>
      <c r="L555">
        <v>58000</v>
      </c>
      <c r="M555" t="s">
        <v>29</v>
      </c>
      <c r="N555" t="s">
        <v>21</v>
      </c>
      <c r="O555">
        <v>0</v>
      </c>
    </row>
    <row r="556" spans="1:15" x14ac:dyDescent="0.3">
      <c r="A556" t="s">
        <v>601</v>
      </c>
      <c r="B556">
        <v>34</v>
      </c>
      <c r="C556" t="s">
        <v>23</v>
      </c>
      <c r="D556" t="s">
        <v>16</v>
      </c>
      <c r="E556" t="s">
        <v>36</v>
      </c>
      <c r="F556" t="s">
        <v>37</v>
      </c>
      <c r="G556">
        <v>6</v>
      </c>
      <c r="H556">
        <v>5</v>
      </c>
      <c r="I556" t="s">
        <v>381</v>
      </c>
      <c r="J556">
        <v>3.7</v>
      </c>
      <c r="K556" t="s">
        <v>19</v>
      </c>
      <c r="L556">
        <v>70000</v>
      </c>
      <c r="M556" t="s">
        <v>19</v>
      </c>
      <c r="N556" t="s">
        <v>39</v>
      </c>
      <c r="O556">
        <v>1</v>
      </c>
    </row>
    <row r="557" spans="1:15" x14ac:dyDescent="0.3">
      <c r="A557" t="s">
        <v>602</v>
      </c>
      <c r="B557">
        <v>36</v>
      </c>
      <c r="C557" t="s">
        <v>44</v>
      </c>
      <c r="D557" t="s">
        <v>24</v>
      </c>
      <c r="E557" t="s">
        <v>45</v>
      </c>
      <c r="F557" t="s">
        <v>32</v>
      </c>
      <c r="G557">
        <v>8</v>
      </c>
      <c r="H557">
        <v>5</v>
      </c>
      <c r="I557" t="s">
        <v>381</v>
      </c>
      <c r="J557">
        <v>4</v>
      </c>
      <c r="K557" t="s">
        <v>19</v>
      </c>
      <c r="L557">
        <v>60000</v>
      </c>
      <c r="M557" t="s">
        <v>29</v>
      </c>
      <c r="N557" t="s">
        <v>21</v>
      </c>
      <c r="O557">
        <v>0</v>
      </c>
    </row>
    <row r="558" spans="1:15" x14ac:dyDescent="0.3">
      <c r="A558" t="s">
        <v>603</v>
      </c>
      <c r="B558">
        <v>30</v>
      </c>
      <c r="C558" t="s">
        <v>15</v>
      </c>
      <c r="D558" t="s">
        <v>16</v>
      </c>
      <c r="E558" t="s">
        <v>17</v>
      </c>
      <c r="F558" t="s">
        <v>26</v>
      </c>
      <c r="G558">
        <v>5</v>
      </c>
      <c r="H558">
        <v>5</v>
      </c>
      <c r="I558" t="s">
        <v>381</v>
      </c>
      <c r="J558">
        <v>3.9</v>
      </c>
      <c r="K558" t="s">
        <v>19</v>
      </c>
      <c r="L558">
        <v>70000</v>
      </c>
      <c r="M558" t="s">
        <v>19</v>
      </c>
      <c r="N558" t="s">
        <v>39</v>
      </c>
      <c r="O558">
        <v>1</v>
      </c>
    </row>
    <row r="559" spans="1:15" x14ac:dyDescent="0.3">
      <c r="A559" t="s">
        <v>604</v>
      </c>
      <c r="B559">
        <v>31</v>
      </c>
      <c r="C559" t="s">
        <v>23</v>
      </c>
      <c r="D559" t="s">
        <v>24</v>
      </c>
      <c r="E559" t="s">
        <v>25</v>
      </c>
      <c r="F559" t="s">
        <v>37</v>
      </c>
      <c r="G559">
        <v>4</v>
      </c>
      <c r="H559">
        <v>5</v>
      </c>
      <c r="I559" t="s">
        <v>381</v>
      </c>
      <c r="J559">
        <v>3.5</v>
      </c>
      <c r="K559" t="s">
        <v>48</v>
      </c>
      <c r="L559">
        <v>75000</v>
      </c>
      <c r="M559" t="s">
        <v>51</v>
      </c>
      <c r="N559" t="s">
        <v>21</v>
      </c>
      <c r="O559">
        <v>0</v>
      </c>
    </row>
    <row r="560" spans="1:15" x14ac:dyDescent="0.3">
      <c r="A560" t="s">
        <v>605</v>
      </c>
      <c r="B560">
        <v>29</v>
      </c>
      <c r="C560" t="s">
        <v>15</v>
      </c>
      <c r="D560" t="s">
        <v>16</v>
      </c>
      <c r="E560" t="s">
        <v>31</v>
      </c>
      <c r="F560" t="s">
        <v>42</v>
      </c>
      <c r="G560">
        <v>3</v>
      </c>
      <c r="H560">
        <v>5</v>
      </c>
      <c r="I560" t="s">
        <v>381</v>
      </c>
      <c r="J560">
        <v>3.4</v>
      </c>
      <c r="K560" t="s">
        <v>48</v>
      </c>
      <c r="L560">
        <v>59000</v>
      </c>
      <c r="M560" t="s">
        <v>29</v>
      </c>
      <c r="N560" t="s">
        <v>39</v>
      </c>
      <c r="O560">
        <v>1</v>
      </c>
    </row>
    <row r="561" spans="1:15" x14ac:dyDescent="0.3">
      <c r="A561" t="s">
        <v>606</v>
      </c>
      <c r="B561">
        <v>40</v>
      </c>
      <c r="C561" t="s">
        <v>44</v>
      </c>
      <c r="D561" t="s">
        <v>24</v>
      </c>
      <c r="E561" t="s">
        <v>36</v>
      </c>
      <c r="F561" t="s">
        <v>37</v>
      </c>
      <c r="G561">
        <v>8</v>
      </c>
      <c r="H561">
        <v>5</v>
      </c>
      <c r="I561" t="s">
        <v>381</v>
      </c>
      <c r="J561">
        <v>3.7</v>
      </c>
      <c r="K561" t="s">
        <v>19</v>
      </c>
      <c r="L561">
        <v>70000</v>
      </c>
      <c r="M561" t="s">
        <v>19</v>
      </c>
      <c r="N561" t="s">
        <v>21</v>
      </c>
      <c r="O561">
        <v>0</v>
      </c>
    </row>
    <row r="562" spans="1:15" x14ac:dyDescent="0.3">
      <c r="A562" t="s">
        <v>607</v>
      </c>
      <c r="B562">
        <v>45</v>
      </c>
      <c r="C562" t="s">
        <v>35</v>
      </c>
      <c r="D562" t="s">
        <v>16</v>
      </c>
      <c r="E562" t="s">
        <v>41</v>
      </c>
      <c r="F562" t="s">
        <v>42</v>
      </c>
      <c r="G562">
        <v>11</v>
      </c>
      <c r="H562">
        <v>5</v>
      </c>
      <c r="I562" t="s">
        <v>381</v>
      </c>
      <c r="J562">
        <v>4.0999999999999996</v>
      </c>
      <c r="K562" t="s">
        <v>28</v>
      </c>
      <c r="L562">
        <v>59000</v>
      </c>
      <c r="M562" t="s">
        <v>29</v>
      </c>
      <c r="N562" t="s">
        <v>39</v>
      </c>
      <c r="O562">
        <v>1</v>
      </c>
    </row>
    <row r="563" spans="1:15" x14ac:dyDescent="0.3">
      <c r="A563" t="s">
        <v>608</v>
      </c>
      <c r="B563">
        <v>32</v>
      </c>
      <c r="C563" t="s">
        <v>23</v>
      </c>
      <c r="D563" t="s">
        <v>24</v>
      </c>
      <c r="E563" t="s">
        <v>31</v>
      </c>
      <c r="F563" t="s">
        <v>42</v>
      </c>
      <c r="G563">
        <v>4</v>
      </c>
      <c r="H563">
        <v>5</v>
      </c>
      <c r="I563" t="s">
        <v>381</v>
      </c>
      <c r="J563">
        <v>3.8</v>
      </c>
      <c r="K563" t="s">
        <v>19</v>
      </c>
      <c r="L563">
        <v>73000</v>
      </c>
      <c r="M563" t="s">
        <v>51</v>
      </c>
      <c r="N563" t="s">
        <v>21</v>
      </c>
      <c r="O563">
        <v>0</v>
      </c>
    </row>
    <row r="564" spans="1:15" x14ac:dyDescent="0.3">
      <c r="A564" t="s">
        <v>609</v>
      </c>
      <c r="B564">
        <v>29</v>
      </c>
      <c r="C564" t="s">
        <v>15</v>
      </c>
      <c r="D564" t="s">
        <v>16</v>
      </c>
      <c r="E564" t="s">
        <v>36</v>
      </c>
      <c r="F564" t="s">
        <v>37</v>
      </c>
      <c r="G564">
        <v>4</v>
      </c>
      <c r="H564">
        <v>5</v>
      </c>
      <c r="I564" t="s">
        <v>381</v>
      </c>
      <c r="J564">
        <v>3.5</v>
      </c>
      <c r="K564" t="s">
        <v>48</v>
      </c>
      <c r="L564">
        <v>75000</v>
      </c>
      <c r="M564" t="s">
        <v>51</v>
      </c>
      <c r="N564" t="s">
        <v>39</v>
      </c>
      <c r="O564">
        <v>1</v>
      </c>
    </row>
    <row r="565" spans="1:15" x14ac:dyDescent="0.3">
      <c r="A565" t="s">
        <v>610</v>
      </c>
      <c r="B565">
        <v>34</v>
      </c>
      <c r="C565" t="s">
        <v>23</v>
      </c>
      <c r="D565" t="s">
        <v>24</v>
      </c>
      <c r="E565" t="s">
        <v>45</v>
      </c>
      <c r="F565" t="s">
        <v>32</v>
      </c>
      <c r="G565">
        <v>6</v>
      </c>
      <c r="H565">
        <v>5</v>
      </c>
      <c r="I565" t="s">
        <v>381</v>
      </c>
      <c r="J565">
        <v>3.7</v>
      </c>
      <c r="K565" t="s">
        <v>19</v>
      </c>
      <c r="L565">
        <v>70000</v>
      </c>
      <c r="M565" t="s">
        <v>19</v>
      </c>
      <c r="N565" t="s">
        <v>39</v>
      </c>
      <c r="O565">
        <v>1</v>
      </c>
    </row>
    <row r="566" spans="1:15" x14ac:dyDescent="0.3">
      <c r="A566" t="s">
        <v>611</v>
      </c>
      <c r="B566">
        <v>36</v>
      </c>
      <c r="C566" t="s">
        <v>44</v>
      </c>
      <c r="D566" t="s">
        <v>16</v>
      </c>
      <c r="E566" t="s">
        <v>17</v>
      </c>
      <c r="F566" t="s">
        <v>26</v>
      </c>
      <c r="G566">
        <v>8</v>
      </c>
      <c r="H566">
        <v>5</v>
      </c>
      <c r="I566" t="s">
        <v>381</v>
      </c>
      <c r="J566">
        <v>4</v>
      </c>
      <c r="K566" t="s">
        <v>19</v>
      </c>
      <c r="L566">
        <v>68000</v>
      </c>
      <c r="M566" t="s">
        <v>19</v>
      </c>
      <c r="N566" t="s">
        <v>21</v>
      </c>
      <c r="O566">
        <v>0</v>
      </c>
    </row>
    <row r="567" spans="1:15" x14ac:dyDescent="0.3">
      <c r="A567" t="s">
        <v>612</v>
      </c>
      <c r="B567">
        <v>30</v>
      </c>
      <c r="C567" t="s">
        <v>15</v>
      </c>
      <c r="D567" t="s">
        <v>24</v>
      </c>
      <c r="E567" t="s">
        <v>31</v>
      </c>
      <c r="F567" t="s">
        <v>42</v>
      </c>
      <c r="G567">
        <v>4</v>
      </c>
      <c r="H567">
        <v>5</v>
      </c>
      <c r="I567" t="s">
        <v>381</v>
      </c>
      <c r="J567">
        <v>3.9</v>
      </c>
      <c r="K567" t="s">
        <v>19</v>
      </c>
      <c r="L567">
        <v>62000</v>
      </c>
      <c r="M567" t="s">
        <v>19</v>
      </c>
      <c r="N567" t="s">
        <v>39</v>
      </c>
      <c r="O567">
        <v>1</v>
      </c>
    </row>
    <row r="568" spans="1:15" x14ac:dyDescent="0.3">
      <c r="A568" t="s">
        <v>613</v>
      </c>
      <c r="B568">
        <v>31</v>
      </c>
      <c r="C568" t="s">
        <v>23</v>
      </c>
      <c r="D568" t="s">
        <v>16</v>
      </c>
      <c r="E568" t="s">
        <v>36</v>
      </c>
      <c r="F568" t="s">
        <v>37</v>
      </c>
      <c r="G568">
        <v>5</v>
      </c>
      <c r="H568">
        <v>5</v>
      </c>
      <c r="I568" t="s">
        <v>381</v>
      </c>
      <c r="J568">
        <v>3.5</v>
      </c>
      <c r="K568" t="s">
        <v>48</v>
      </c>
      <c r="L568">
        <v>59000</v>
      </c>
      <c r="M568" t="s">
        <v>29</v>
      </c>
      <c r="N568" t="s">
        <v>21</v>
      </c>
      <c r="O568">
        <v>0</v>
      </c>
    </row>
    <row r="569" spans="1:15" x14ac:dyDescent="0.3">
      <c r="A569" t="s">
        <v>614</v>
      </c>
      <c r="B569">
        <v>33</v>
      </c>
      <c r="C569" t="s">
        <v>23</v>
      </c>
      <c r="D569" t="s">
        <v>24</v>
      </c>
      <c r="E569" t="s">
        <v>45</v>
      </c>
      <c r="F569" t="s">
        <v>32</v>
      </c>
      <c r="G569">
        <v>7</v>
      </c>
      <c r="H569">
        <v>5</v>
      </c>
      <c r="I569" t="s">
        <v>381</v>
      </c>
      <c r="J569">
        <v>3.8</v>
      </c>
      <c r="K569" t="s">
        <v>19</v>
      </c>
      <c r="L569">
        <v>63000</v>
      </c>
      <c r="M569" t="s">
        <v>19</v>
      </c>
      <c r="N569" t="s">
        <v>39</v>
      </c>
      <c r="O569">
        <v>1</v>
      </c>
    </row>
    <row r="570" spans="1:15" x14ac:dyDescent="0.3">
      <c r="A570" t="s">
        <v>615</v>
      </c>
      <c r="B570">
        <v>37</v>
      </c>
      <c r="C570" t="s">
        <v>44</v>
      </c>
      <c r="D570" t="s">
        <v>16</v>
      </c>
      <c r="E570" t="s">
        <v>25</v>
      </c>
      <c r="F570" t="s">
        <v>37</v>
      </c>
      <c r="G570">
        <v>8</v>
      </c>
      <c r="H570">
        <v>5</v>
      </c>
      <c r="I570" t="s">
        <v>381</v>
      </c>
      <c r="J570">
        <v>4.3</v>
      </c>
      <c r="K570" t="s">
        <v>28</v>
      </c>
      <c r="L570">
        <v>72000</v>
      </c>
      <c r="M570" t="s">
        <v>51</v>
      </c>
      <c r="N570" t="s">
        <v>21</v>
      </c>
      <c r="O570">
        <v>0</v>
      </c>
    </row>
    <row r="571" spans="1:15" x14ac:dyDescent="0.3">
      <c r="A571" t="s">
        <v>616</v>
      </c>
      <c r="B571">
        <v>28</v>
      </c>
      <c r="C571" t="s">
        <v>15</v>
      </c>
      <c r="D571" t="s">
        <v>24</v>
      </c>
      <c r="E571" t="s">
        <v>17</v>
      </c>
      <c r="F571" t="s">
        <v>18</v>
      </c>
      <c r="G571">
        <v>2</v>
      </c>
      <c r="H571">
        <v>5</v>
      </c>
      <c r="I571" t="s">
        <v>381</v>
      </c>
      <c r="J571">
        <v>3.2</v>
      </c>
      <c r="K571" t="s">
        <v>48</v>
      </c>
      <c r="L571">
        <v>57000</v>
      </c>
      <c r="M571" t="s">
        <v>29</v>
      </c>
      <c r="N571" t="s">
        <v>39</v>
      </c>
      <c r="O571">
        <v>1</v>
      </c>
    </row>
    <row r="572" spans="1:15" x14ac:dyDescent="0.3">
      <c r="A572" t="s">
        <v>617</v>
      </c>
      <c r="B572">
        <v>34</v>
      </c>
      <c r="C572" t="s">
        <v>23</v>
      </c>
      <c r="D572" t="s">
        <v>16</v>
      </c>
      <c r="E572" t="s">
        <v>36</v>
      </c>
      <c r="F572" t="s">
        <v>37</v>
      </c>
      <c r="G572">
        <v>6</v>
      </c>
      <c r="H572">
        <v>5</v>
      </c>
      <c r="I572" t="s">
        <v>381</v>
      </c>
      <c r="J572">
        <v>3.7</v>
      </c>
      <c r="K572" t="s">
        <v>19</v>
      </c>
      <c r="L572">
        <v>70000</v>
      </c>
      <c r="M572" t="s">
        <v>19</v>
      </c>
      <c r="N572" t="s">
        <v>21</v>
      </c>
      <c r="O572">
        <v>0</v>
      </c>
    </row>
    <row r="573" spans="1:15" x14ac:dyDescent="0.3">
      <c r="A573" t="s">
        <v>618</v>
      </c>
      <c r="B573">
        <v>36</v>
      </c>
      <c r="C573" t="s">
        <v>44</v>
      </c>
      <c r="D573" t="s">
        <v>24</v>
      </c>
      <c r="E573" t="s">
        <v>45</v>
      </c>
      <c r="F573" t="s">
        <v>32</v>
      </c>
      <c r="G573">
        <v>8</v>
      </c>
      <c r="H573">
        <v>5</v>
      </c>
      <c r="I573" t="s">
        <v>381</v>
      </c>
      <c r="J573">
        <v>4</v>
      </c>
      <c r="K573" t="s">
        <v>19</v>
      </c>
      <c r="L573">
        <v>60000</v>
      </c>
      <c r="M573" t="s">
        <v>29</v>
      </c>
      <c r="N573" t="s">
        <v>39</v>
      </c>
      <c r="O573">
        <v>1</v>
      </c>
    </row>
    <row r="574" spans="1:15" x14ac:dyDescent="0.3">
      <c r="A574" t="s">
        <v>619</v>
      </c>
      <c r="B574">
        <v>30</v>
      </c>
      <c r="C574" t="s">
        <v>15</v>
      </c>
      <c r="D574" t="s">
        <v>16</v>
      </c>
      <c r="E574" t="s">
        <v>17</v>
      </c>
      <c r="F574" t="s">
        <v>26</v>
      </c>
      <c r="G574">
        <v>5</v>
      </c>
      <c r="H574">
        <v>5</v>
      </c>
      <c r="I574" t="s">
        <v>381</v>
      </c>
      <c r="J574">
        <v>3.9</v>
      </c>
      <c r="K574" t="s">
        <v>19</v>
      </c>
      <c r="L574">
        <v>70000</v>
      </c>
      <c r="M574" t="s">
        <v>19</v>
      </c>
      <c r="N574" t="s">
        <v>21</v>
      </c>
      <c r="O574">
        <v>0</v>
      </c>
    </row>
    <row r="575" spans="1:15" x14ac:dyDescent="0.3">
      <c r="A575" t="s">
        <v>620</v>
      </c>
      <c r="B575">
        <v>31</v>
      </c>
      <c r="C575" t="s">
        <v>23</v>
      </c>
      <c r="D575" t="s">
        <v>24</v>
      </c>
      <c r="E575" t="s">
        <v>25</v>
      </c>
      <c r="F575" t="s">
        <v>37</v>
      </c>
      <c r="G575">
        <v>4</v>
      </c>
      <c r="H575">
        <v>5</v>
      </c>
      <c r="I575" t="s">
        <v>381</v>
      </c>
      <c r="J575">
        <v>3.5</v>
      </c>
      <c r="K575" t="s">
        <v>48</v>
      </c>
      <c r="L575">
        <v>75000</v>
      </c>
      <c r="M575" t="s">
        <v>51</v>
      </c>
      <c r="N575" t="s">
        <v>39</v>
      </c>
      <c r="O575">
        <v>1</v>
      </c>
    </row>
    <row r="576" spans="1:15" x14ac:dyDescent="0.3">
      <c r="A576" t="s">
        <v>621</v>
      </c>
      <c r="B576">
        <v>29</v>
      </c>
      <c r="C576" t="s">
        <v>15</v>
      </c>
      <c r="D576" t="s">
        <v>16</v>
      </c>
      <c r="E576" t="s">
        <v>31</v>
      </c>
      <c r="F576" t="s">
        <v>42</v>
      </c>
      <c r="G576">
        <v>3</v>
      </c>
      <c r="H576">
        <v>5</v>
      </c>
      <c r="I576" t="s">
        <v>381</v>
      </c>
      <c r="J576">
        <v>3.4</v>
      </c>
      <c r="K576" t="s">
        <v>48</v>
      </c>
      <c r="L576">
        <v>59000</v>
      </c>
      <c r="M576" t="s">
        <v>29</v>
      </c>
      <c r="N576" t="s">
        <v>21</v>
      </c>
      <c r="O576">
        <v>0</v>
      </c>
    </row>
    <row r="577" spans="1:15" x14ac:dyDescent="0.3">
      <c r="A577" t="s">
        <v>622</v>
      </c>
      <c r="B577">
        <v>40</v>
      </c>
      <c r="C577" t="s">
        <v>44</v>
      </c>
      <c r="D577" t="s">
        <v>24</v>
      </c>
      <c r="E577" t="s">
        <v>36</v>
      </c>
      <c r="F577" t="s">
        <v>37</v>
      </c>
      <c r="G577">
        <v>8</v>
      </c>
      <c r="H577">
        <v>5</v>
      </c>
      <c r="I577" t="s">
        <v>381</v>
      </c>
      <c r="J577">
        <v>3.7</v>
      </c>
      <c r="K577" t="s">
        <v>19</v>
      </c>
      <c r="L577">
        <v>70000</v>
      </c>
      <c r="M577" t="s">
        <v>19</v>
      </c>
      <c r="N577" t="s">
        <v>39</v>
      </c>
      <c r="O577">
        <v>1</v>
      </c>
    </row>
    <row r="578" spans="1:15" x14ac:dyDescent="0.3">
      <c r="A578" t="s">
        <v>623</v>
      </c>
      <c r="B578">
        <v>45</v>
      </c>
      <c r="C578" t="s">
        <v>35</v>
      </c>
      <c r="D578" t="s">
        <v>16</v>
      </c>
      <c r="E578" t="s">
        <v>41</v>
      </c>
      <c r="F578" t="s">
        <v>42</v>
      </c>
      <c r="G578">
        <v>11</v>
      </c>
      <c r="H578">
        <v>5</v>
      </c>
      <c r="I578" t="s">
        <v>381</v>
      </c>
      <c r="J578">
        <v>4.0999999999999996</v>
      </c>
      <c r="K578" t="s">
        <v>28</v>
      </c>
      <c r="L578">
        <v>59000</v>
      </c>
      <c r="M578" t="s">
        <v>29</v>
      </c>
      <c r="N578" t="s">
        <v>21</v>
      </c>
      <c r="O578">
        <v>0</v>
      </c>
    </row>
    <row r="579" spans="1:15" x14ac:dyDescent="0.3">
      <c r="A579" t="s">
        <v>624</v>
      </c>
      <c r="B579">
        <v>32</v>
      </c>
      <c r="C579" t="s">
        <v>23</v>
      </c>
      <c r="D579" t="s">
        <v>24</v>
      </c>
      <c r="E579" t="s">
        <v>31</v>
      </c>
      <c r="F579" t="s">
        <v>42</v>
      </c>
      <c r="G579">
        <v>4</v>
      </c>
      <c r="H579">
        <v>5</v>
      </c>
      <c r="I579" t="s">
        <v>381</v>
      </c>
      <c r="J579">
        <v>3.8</v>
      </c>
      <c r="K579" t="s">
        <v>19</v>
      </c>
      <c r="L579">
        <v>73000</v>
      </c>
      <c r="M579" t="s">
        <v>51</v>
      </c>
      <c r="N579" t="s">
        <v>39</v>
      </c>
      <c r="O579">
        <v>1</v>
      </c>
    </row>
    <row r="580" spans="1:15" x14ac:dyDescent="0.3">
      <c r="A580" t="s">
        <v>625</v>
      </c>
      <c r="B580">
        <v>29</v>
      </c>
      <c r="C580" t="s">
        <v>15</v>
      </c>
      <c r="D580" t="s">
        <v>16</v>
      </c>
      <c r="E580" t="s">
        <v>36</v>
      </c>
      <c r="F580" t="s">
        <v>37</v>
      </c>
      <c r="G580">
        <v>4</v>
      </c>
      <c r="H580">
        <v>5</v>
      </c>
      <c r="I580" t="s">
        <v>381</v>
      </c>
      <c r="J580">
        <v>3.5</v>
      </c>
      <c r="K580" t="s">
        <v>48</v>
      </c>
      <c r="L580">
        <v>75000</v>
      </c>
      <c r="M580" t="s">
        <v>51</v>
      </c>
      <c r="N580" t="s">
        <v>21</v>
      </c>
      <c r="O580">
        <v>0</v>
      </c>
    </row>
    <row r="581" spans="1:15" x14ac:dyDescent="0.3">
      <c r="A581" t="s">
        <v>626</v>
      </c>
      <c r="B581">
        <v>33</v>
      </c>
      <c r="C581" t="s">
        <v>23</v>
      </c>
      <c r="D581" t="s">
        <v>24</v>
      </c>
      <c r="E581" t="s">
        <v>45</v>
      </c>
      <c r="F581" t="s">
        <v>32</v>
      </c>
      <c r="G581">
        <v>6</v>
      </c>
      <c r="H581">
        <v>5</v>
      </c>
      <c r="I581" t="s">
        <v>381</v>
      </c>
      <c r="J581">
        <v>3.8</v>
      </c>
      <c r="K581" t="s">
        <v>19</v>
      </c>
      <c r="L581">
        <v>42000</v>
      </c>
      <c r="M581" t="s">
        <v>20</v>
      </c>
      <c r="N581" t="s">
        <v>39</v>
      </c>
      <c r="O581">
        <v>1</v>
      </c>
    </row>
    <row r="582" spans="1:15" x14ac:dyDescent="0.3">
      <c r="A582" t="s">
        <v>627</v>
      </c>
      <c r="B582">
        <v>37</v>
      </c>
      <c r="C582" t="s">
        <v>44</v>
      </c>
      <c r="D582" t="s">
        <v>16</v>
      </c>
      <c r="E582" t="s">
        <v>25</v>
      </c>
      <c r="F582" t="s">
        <v>37</v>
      </c>
      <c r="G582">
        <v>7</v>
      </c>
      <c r="H582">
        <v>5</v>
      </c>
      <c r="I582" t="s">
        <v>381</v>
      </c>
      <c r="J582">
        <v>4.3</v>
      </c>
      <c r="K582" t="s">
        <v>28</v>
      </c>
      <c r="L582">
        <v>76000</v>
      </c>
      <c r="M582" t="s">
        <v>51</v>
      </c>
      <c r="N582" t="s">
        <v>21</v>
      </c>
      <c r="O582">
        <v>0</v>
      </c>
    </row>
    <row r="583" spans="1:15" x14ac:dyDescent="0.3">
      <c r="A583" t="s">
        <v>628</v>
      </c>
      <c r="B583">
        <v>28</v>
      </c>
      <c r="C583" t="s">
        <v>15</v>
      </c>
      <c r="D583" t="s">
        <v>24</v>
      </c>
      <c r="E583" t="s">
        <v>17</v>
      </c>
      <c r="F583" t="s">
        <v>18</v>
      </c>
      <c r="G583">
        <v>2</v>
      </c>
      <c r="H583">
        <v>5</v>
      </c>
      <c r="I583" t="s">
        <v>381</v>
      </c>
      <c r="J583">
        <v>3.2</v>
      </c>
      <c r="K583" t="s">
        <v>48</v>
      </c>
      <c r="L583">
        <v>58000</v>
      </c>
      <c r="M583" t="s">
        <v>29</v>
      </c>
      <c r="N583" t="s">
        <v>39</v>
      </c>
      <c r="O583">
        <v>1</v>
      </c>
    </row>
    <row r="584" spans="1:15" x14ac:dyDescent="0.3">
      <c r="A584" t="s">
        <v>629</v>
      </c>
      <c r="B584">
        <v>34</v>
      </c>
      <c r="C584" t="s">
        <v>23</v>
      </c>
      <c r="D584" t="s">
        <v>16</v>
      </c>
      <c r="E584" t="s">
        <v>36</v>
      </c>
      <c r="F584" t="s">
        <v>37</v>
      </c>
      <c r="G584">
        <v>6</v>
      </c>
      <c r="H584">
        <v>5</v>
      </c>
      <c r="I584" t="s">
        <v>381</v>
      </c>
      <c r="J584">
        <v>3.7</v>
      </c>
      <c r="K584" t="s">
        <v>19</v>
      </c>
      <c r="L584">
        <v>70000</v>
      </c>
      <c r="M584" t="s">
        <v>19</v>
      </c>
      <c r="N584" t="s">
        <v>21</v>
      </c>
      <c r="O584">
        <v>0</v>
      </c>
    </row>
    <row r="585" spans="1:15" x14ac:dyDescent="0.3">
      <c r="A585" t="s">
        <v>630</v>
      </c>
      <c r="B585">
        <v>36</v>
      </c>
      <c r="C585" t="s">
        <v>44</v>
      </c>
      <c r="D585" t="s">
        <v>24</v>
      </c>
      <c r="E585" t="s">
        <v>45</v>
      </c>
      <c r="F585" t="s">
        <v>32</v>
      </c>
      <c r="G585">
        <v>8</v>
      </c>
      <c r="H585">
        <v>5</v>
      </c>
      <c r="I585" t="s">
        <v>381</v>
      </c>
      <c r="J585">
        <v>4</v>
      </c>
      <c r="K585" t="s">
        <v>19</v>
      </c>
      <c r="L585">
        <v>60000</v>
      </c>
      <c r="M585" t="s">
        <v>29</v>
      </c>
      <c r="N585" t="s">
        <v>39</v>
      </c>
      <c r="O585">
        <v>1</v>
      </c>
    </row>
    <row r="586" spans="1:15" x14ac:dyDescent="0.3">
      <c r="A586" t="s">
        <v>631</v>
      </c>
      <c r="B586">
        <v>30</v>
      </c>
      <c r="C586" t="s">
        <v>15</v>
      </c>
      <c r="D586" t="s">
        <v>16</v>
      </c>
      <c r="E586" t="s">
        <v>17</v>
      </c>
      <c r="F586" t="s">
        <v>26</v>
      </c>
      <c r="G586">
        <v>5</v>
      </c>
      <c r="H586">
        <v>5</v>
      </c>
      <c r="I586" t="s">
        <v>381</v>
      </c>
      <c r="J586">
        <v>3.9</v>
      </c>
      <c r="K586" t="s">
        <v>19</v>
      </c>
      <c r="L586">
        <v>70000</v>
      </c>
      <c r="M586" t="s">
        <v>19</v>
      </c>
      <c r="N586" t="s">
        <v>21</v>
      </c>
      <c r="O586">
        <v>0</v>
      </c>
    </row>
    <row r="587" spans="1:15" x14ac:dyDescent="0.3">
      <c r="A587" t="s">
        <v>632</v>
      </c>
      <c r="B587">
        <v>31</v>
      </c>
      <c r="C587" t="s">
        <v>23</v>
      </c>
      <c r="D587" t="s">
        <v>24</v>
      </c>
      <c r="E587" t="s">
        <v>25</v>
      </c>
      <c r="F587" t="s">
        <v>37</v>
      </c>
      <c r="G587">
        <v>4</v>
      </c>
      <c r="H587">
        <v>5</v>
      </c>
      <c r="I587" t="s">
        <v>381</v>
      </c>
      <c r="J587">
        <v>3.5</v>
      </c>
      <c r="K587" t="s">
        <v>48</v>
      </c>
      <c r="L587">
        <v>75000</v>
      </c>
      <c r="M587" t="s">
        <v>51</v>
      </c>
      <c r="N587" t="s">
        <v>39</v>
      </c>
      <c r="O587">
        <v>1</v>
      </c>
    </row>
    <row r="588" spans="1:15" x14ac:dyDescent="0.3">
      <c r="A588" t="s">
        <v>633</v>
      </c>
      <c r="B588">
        <v>29</v>
      </c>
      <c r="C588" t="s">
        <v>15</v>
      </c>
      <c r="D588" t="s">
        <v>16</v>
      </c>
      <c r="E588" t="s">
        <v>31</v>
      </c>
      <c r="F588" t="s">
        <v>42</v>
      </c>
      <c r="G588">
        <v>3</v>
      </c>
      <c r="H588">
        <v>5</v>
      </c>
      <c r="I588" t="s">
        <v>381</v>
      </c>
      <c r="J588">
        <v>3.4</v>
      </c>
      <c r="K588" t="s">
        <v>48</v>
      </c>
      <c r="L588">
        <v>59000</v>
      </c>
      <c r="M588" t="s">
        <v>29</v>
      </c>
      <c r="N588" t="s">
        <v>21</v>
      </c>
      <c r="O588">
        <v>0</v>
      </c>
    </row>
    <row r="589" spans="1:15" x14ac:dyDescent="0.3">
      <c r="A589" t="s">
        <v>634</v>
      </c>
      <c r="B589">
        <v>40</v>
      </c>
      <c r="C589" t="s">
        <v>44</v>
      </c>
      <c r="D589" t="s">
        <v>24</v>
      </c>
      <c r="E589" t="s">
        <v>36</v>
      </c>
      <c r="F589" t="s">
        <v>37</v>
      </c>
      <c r="G589">
        <v>8</v>
      </c>
      <c r="H589">
        <v>5</v>
      </c>
      <c r="I589" t="s">
        <v>381</v>
      </c>
      <c r="J589">
        <v>3.7</v>
      </c>
      <c r="K589" t="s">
        <v>19</v>
      </c>
      <c r="L589">
        <v>70000</v>
      </c>
      <c r="M589" t="s">
        <v>19</v>
      </c>
      <c r="N589" t="s">
        <v>39</v>
      </c>
      <c r="O589">
        <v>1</v>
      </c>
    </row>
    <row r="590" spans="1:15" x14ac:dyDescent="0.3">
      <c r="A590" t="s">
        <v>635</v>
      </c>
      <c r="B590">
        <v>45</v>
      </c>
      <c r="C590" t="s">
        <v>35</v>
      </c>
      <c r="D590" t="s">
        <v>16</v>
      </c>
      <c r="E590" t="s">
        <v>41</v>
      </c>
      <c r="F590" t="s">
        <v>42</v>
      </c>
      <c r="G590">
        <v>11</v>
      </c>
      <c r="H590">
        <v>5</v>
      </c>
      <c r="I590" t="s">
        <v>381</v>
      </c>
      <c r="J590">
        <v>4.0999999999999996</v>
      </c>
      <c r="K590" t="s">
        <v>28</v>
      </c>
      <c r="L590">
        <v>59000</v>
      </c>
      <c r="M590" t="s">
        <v>29</v>
      </c>
      <c r="N590" t="s">
        <v>21</v>
      </c>
      <c r="O590">
        <v>0</v>
      </c>
    </row>
    <row r="591" spans="1:15" x14ac:dyDescent="0.3">
      <c r="A591" t="s">
        <v>636</v>
      </c>
      <c r="B591">
        <v>32</v>
      </c>
      <c r="C591" t="s">
        <v>23</v>
      </c>
      <c r="D591" t="s">
        <v>24</v>
      </c>
      <c r="E591" t="s">
        <v>31</v>
      </c>
      <c r="F591" t="s">
        <v>42</v>
      </c>
      <c r="G591">
        <v>4</v>
      </c>
      <c r="H591">
        <v>5</v>
      </c>
      <c r="I591" t="s">
        <v>381</v>
      </c>
      <c r="J591">
        <v>3.8</v>
      </c>
      <c r="K591" t="s">
        <v>19</v>
      </c>
      <c r="L591">
        <v>73000</v>
      </c>
      <c r="M591" t="s">
        <v>51</v>
      </c>
      <c r="N591" t="s">
        <v>39</v>
      </c>
      <c r="O591">
        <v>1</v>
      </c>
    </row>
    <row r="592" spans="1:15" x14ac:dyDescent="0.3">
      <c r="A592" t="s">
        <v>637</v>
      </c>
      <c r="B592">
        <v>29</v>
      </c>
      <c r="C592" t="s">
        <v>15</v>
      </c>
      <c r="D592" t="s">
        <v>16</v>
      </c>
      <c r="E592" t="s">
        <v>36</v>
      </c>
      <c r="F592" t="s">
        <v>37</v>
      </c>
      <c r="G592">
        <v>4</v>
      </c>
      <c r="H592">
        <v>5</v>
      </c>
      <c r="I592" t="s">
        <v>381</v>
      </c>
      <c r="J592">
        <v>3.5</v>
      </c>
      <c r="K592" t="s">
        <v>48</v>
      </c>
      <c r="L592">
        <v>75000</v>
      </c>
      <c r="M592" t="s">
        <v>51</v>
      </c>
      <c r="N592" t="s">
        <v>21</v>
      </c>
      <c r="O592">
        <v>0</v>
      </c>
    </row>
    <row r="593" spans="1:15" x14ac:dyDescent="0.3">
      <c r="A593" t="s">
        <v>638</v>
      </c>
      <c r="B593">
        <v>33</v>
      </c>
      <c r="C593" t="s">
        <v>23</v>
      </c>
      <c r="D593" t="s">
        <v>24</v>
      </c>
      <c r="E593" t="s">
        <v>45</v>
      </c>
      <c r="F593" t="s">
        <v>32</v>
      </c>
      <c r="G593">
        <v>6</v>
      </c>
      <c r="H593">
        <v>5</v>
      </c>
      <c r="I593" t="s">
        <v>381</v>
      </c>
      <c r="J593">
        <v>3.8</v>
      </c>
      <c r="K593" t="s">
        <v>19</v>
      </c>
      <c r="L593">
        <v>42000</v>
      </c>
      <c r="M593" t="s">
        <v>20</v>
      </c>
      <c r="N593" t="s">
        <v>39</v>
      </c>
      <c r="O593">
        <v>1</v>
      </c>
    </row>
    <row r="594" spans="1:15" x14ac:dyDescent="0.3">
      <c r="A594" t="s">
        <v>639</v>
      </c>
      <c r="B594">
        <v>37</v>
      </c>
      <c r="C594" t="s">
        <v>44</v>
      </c>
      <c r="D594" t="s">
        <v>16</v>
      </c>
      <c r="E594" t="s">
        <v>25</v>
      </c>
      <c r="F594" t="s">
        <v>37</v>
      </c>
      <c r="G594">
        <v>7</v>
      </c>
      <c r="H594">
        <v>5</v>
      </c>
      <c r="I594" t="s">
        <v>381</v>
      </c>
      <c r="J594">
        <v>4.3</v>
      </c>
      <c r="K594" t="s">
        <v>28</v>
      </c>
      <c r="L594">
        <v>76000</v>
      </c>
      <c r="M594" t="s">
        <v>51</v>
      </c>
      <c r="N594" t="s">
        <v>21</v>
      </c>
      <c r="O594">
        <v>0</v>
      </c>
    </row>
    <row r="595" spans="1:15" x14ac:dyDescent="0.3">
      <c r="A595" t="s">
        <v>640</v>
      </c>
      <c r="B595">
        <v>28</v>
      </c>
      <c r="C595" t="s">
        <v>15</v>
      </c>
      <c r="D595" t="s">
        <v>24</v>
      </c>
      <c r="E595" t="s">
        <v>17</v>
      </c>
      <c r="F595" t="s">
        <v>18</v>
      </c>
      <c r="G595">
        <v>2</v>
      </c>
      <c r="H595">
        <v>5</v>
      </c>
      <c r="I595" t="s">
        <v>381</v>
      </c>
      <c r="J595">
        <v>3.2</v>
      </c>
      <c r="K595" t="s">
        <v>48</v>
      </c>
      <c r="L595">
        <v>58000</v>
      </c>
      <c r="M595" t="s">
        <v>29</v>
      </c>
      <c r="N595" t="s">
        <v>39</v>
      </c>
      <c r="O595">
        <v>1</v>
      </c>
    </row>
    <row r="596" spans="1:15" x14ac:dyDescent="0.3">
      <c r="A596" t="s">
        <v>641</v>
      </c>
      <c r="B596">
        <v>34</v>
      </c>
      <c r="C596" t="s">
        <v>23</v>
      </c>
      <c r="D596" t="s">
        <v>16</v>
      </c>
      <c r="E596" t="s">
        <v>36</v>
      </c>
      <c r="F596" t="s">
        <v>37</v>
      </c>
      <c r="G596">
        <v>6</v>
      </c>
      <c r="H596">
        <v>5</v>
      </c>
      <c r="I596" t="s">
        <v>381</v>
      </c>
      <c r="J596">
        <v>3.7</v>
      </c>
      <c r="K596" t="s">
        <v>19</v>
      </c>
      <c r="L596">
        <v>70000</v>
      </c>
      <c r="M596" t="s">
        <v>19</v>
      </c>
      <c r="N596" t="s">
        <v>21</v>
      </c>
      <c r="O596">
        <v>0</v>
      </c>
    </row>
    <row r="597" spans="1:15" x14ac:dyDescent="0.3">
      <c r="A597" t="s">
        <v>642</v>
      </c>
      <c r="B597">
        <v>36</v>
      </c>
      <c r="C597" t="s">
        <v>44</v>
      </c>
      <c r="D597" t="s">
        <v>24</v>
      </c>
      <c r="E597" t="s">
        <v>45</v>
      </c>
      <c r="F597" t="s">
        <v>32</v>
      </c>
      <c r="G597">
        <v>8</v>
      </c>
      <c r="H597">
        <v>5</v>
      </c>
      <c r="I597" t="s">
        <v>381</v>
      </c>
      <c r="J597">
        <v>4</v>
      </c>
      <c r="K597" t="s">
        <v>19</v>
      </c>
      <c r="L597">
        <v>60000</v>
      </c>
      <c r="M597" t="s">
        <v>29</v>
      </c>
      <c r="N597" t="s">
        <v>39</v>
      </c>
      <c r="O597">
        <v>1</v>
      </c>
    </row>
    <row r="598" spans="1:15" x14ac:dyDescent="0.3">
      <c r="A598" t="s">
        <v>643</v>
      </c>
      <c r="B598">
        <v>30</v>
      </c>
      <c r="C598" t="s">
        <v>15</v>
      </c>
      <c r="D598" t="s">
        <v>16</v>
      </c>
      <c r="E598" t="s">
        <v>17</v>
      </c>
      <c r="F598" t="s">
        <v>26</v>
      </c>
      <c r="G598">
        <v>5</v>
      </c>
      <c r="H598">
        <v>5</v>
      </c>
      <c r="I598" t="s">
        <v>381</v>
      </c>
      <c r="J598">
        <v>3.9</v>
      </c>
      <c r="K598" t="s">
        <v>19</v>
      </c>
      <c r="L598">
        <v>70000</v>
      </c>
      <c r="M598" t="s">
        <v>19</v>
      </c>
      <c r="N598" t="s">
        <v>21</v>
      </c>
      <c r="O598">
        <v>0</v>
      </c>
    </row>
    <row r="599" spans="1:15" x14ac:dyDescent="0.3">
      <c r="A599" t="s">
        <v>644</v>
      </c>
      <c r="B599">
        <v>31</v>
      </c>
      <c r="C599" t="s">
        <v>23</v>
      </c>
      <c r="D599" t="s">
        <v>24</v>
      </c>
      <c r="E599" t="s">
        <v>25</v>
      </c>
      <c r="F599" t="s">
        <v>37</v>
      </c>
      <c r="G599">
        <v>4</v>
      </c>
      <c r="H599">
        <v>5</v>
      </c>
      <c r="I599" t="s">
        <v>381</v>
      </c>
      <c r="J599">
        <v>3.5</v>
      </c>
      <c r="K599" t="s">
        <v>48</v>
      </c>
      <c r="L599">
        <v>75000</v>
      </c>
      <c r="M599" t="s">
        <v>51</v>
      </c>
      <c r="N599" t="s">
        <v>39</v>
      </c>
      <c r="O599">
        <v>1</v>
      </c>
    </row>
    <row r="600" spans="1:15" x14ac:dyDescent="0.3">
      <c r="A600" t="s">
        <v>645</v>
      </c>
      <c r="B600">
        <v>29</v>
      </c>
      <c r="C600" t="s">
        <v>15</v>
      </c>
      <c r="D600" t="s">
        <v>16</v>
      </c>
      <c r="E600" t="s">
        <v>31</v>
      </c>
      <c r="F600" t="s">
        <v>42</v>
      </c>
      <c r="G600">
        <v>3</v>
      </c>
      <c r="H600">
        <v>5</v>
      </c>
      <c r="I600" t="s">
        <v>381</v>
      </c>
      <c r="J600">
        <v>3.4</v>
      </c>
      <c r="K600" t="s">
        <v>48</v>
      </c>
      <c r="L600">
        <v>59000</v>
      </c>
      <c r="M600" t="s">
        <v>29</v>
      </c>
      <c r="N600" t="s">
        <v>21</v>
      </c>
      <c r="O600">
        <v>0</v>
      </c>
    </row>
    <row r="601" spans="1:15" x14ac:dyDescent="0.3">
      <c r="A601" t="s">
        <v>646</v>
      </c>
      <c r="B601">
        <v>33</v>
      </c>
      <c r="C601" t="s">
        <v>23</v>
      </c>
      <c r="D601" t="s">
        <v>24</v>
      </c>
      <c r="E601" t="s">
        <v>45</v>
      </c>
      <c r="F601" t="s">
        <v>32</v>
      </c>
      <c r="G601">
        <v>6</v>
      </c>
      <c r="H601">
        <v>5</v>
      </c>
      <c r="I601" t="s">
        <v>381</v>
      </c>
      <c r="J601">
        <v>3.8</v>
      </c>
      <c r="K601" t="s">
        <v>19</v>
      </c>
      <c r="L601">
        <v>42000</v>
      </c>
      <c r="M601" t="s">
        <v>20</v>
      </c>
      <c r="N601" t="s">
        <v>39</v>
      </c>
      <c r="O601">
        <v>1</v>
      </c>
    </row>
    <row r="602" spans="1:15" x14ac:dyDescent="0.3">
      <c r="A602" t="s">
        <v>647</v>
      </c>
      <c r="B602">
        <v>37</v>
      </c>
      <c r="C602" t="s">
        <v>44</v>
      </c>
      <c r="D602" t="s">
        <v>16</v>
      </c>
      <c r="E602" t="s">
        <v>25</v>
      </c>
      <c r="F602" t="s">
        <v>37</v>
      </c>
      <c r="G602">
        <v>7</v>
      </c>
      <c r="H602">
        <v>5</v>
      </c>
      <c r="I602" t="s">
        <v>381</v>
      </c>
      <c r="J602">
        <v>4.3</v>
      </c>
      <c r="K602" t="s">
        <v>28</v>
      </c>
      <c r="L602">
        <v>76000</v>
      </c>
      <c r="M602" t="s">
        <v>51</v>
      </c>
      <c r="N602" t="s">
        <v>21</v>
      </c>
      <c r="O602">
        <v>0</v>
      </c>
    </row>
    <row r="603" spans="1:15" x14ac:dyDescent="0.3">
      <c r="A603" t="s">
        <v>648</v>
      </c>
      <c r="B603">
        <v>28</v>
      </c>
      <c r="C603" t="s">
        <v>15</v>
      </c>
      <c r="D603" t="s">
        <v>24</v>
      </c>
      <c r="E603" t="s">
        <v>17</v>
      </c>
      <c r="F603" t="s">
        <v>18</v>
      </c>
      <c r="G603">
        <v>2</v>
      </c>
      <c r="H603">
        <v>5</v>
      </c>
      <c r="I603" t="s">
        <v>381</v>
      </c>
      <c r="J603">
        <v>3.2</v>
      </c>
      <c r="K603" t="s">
        <v>48</v>
      </c>
      <c r="L603">
        <v>58000</v>
      </c>
      <c r="M603" t="s">
        <v>29</v>
      </c>
      <c r="N603" t="s">
        <v>39</v>
      </c>
      <c r="O603">
        <v>1</v>
      </c>
    </row>
    <row r="604" spans="1:15" x14ac:dyDescent="0.3">
      <c r="A604" t="s">
        <v>649</v>
      </c>
      <c r="B604">
        <v>34</v>
      </c>
      <c r="C604" t="s">
        <v>23</v>
      </c>
      <c r="D604" t="s">
        <v>16</v>
      </c>
      <c r="E604" t="s">
        <v>36</v>
      </c>
      <c r="F604" t="s">
        <v>37</v>
      </c>
      <c r="G604">
        <v>6</v>
      </c>
      <c r="H604">
        <v>5</v>
      </c>
      <c r="I604" t="s">
        <v>381</v>
      </c>
      <c r="J604">
        <v>3.7</v>
      </c>
      <c r="K604" t="s">
        <v>19</v>
      </c>
      <c r="L604">
        <v>70000</v>
      </c>
      <c r="M604" t="s">
        <v>19</v>
      </c>
      <c r="N604" t="s">
        <v>21</v>
      </c>
      <c r="O604">
        <v>0</v>
      </c>
    </row>
    <row r="605" spans="1:15" x14ac:dyDescent="0.3">
      <c r="A605" t="s">
        <v>650</v>
      </c>
      <c r="B605">
        <v>36</v>
      </c>
      <c r="C605" t="s">
        <v>44</v>
      </c>
      <c r="D605" t="s">
        <v>24</v>
      </c>
      <c r="E605" t="s">
        <v>45</v>
      </c>
      <c r="F605" t="s">
        <v>32</v>
      </c>
      <c r="G605">
        <v>8</v>
      </c>
      <c r="H605">
        <v>5</v>
      </c>
      <c r="I605" t="s">
        <v>381</v>
      </c>
      <c r="J605">
        <v>4</v>
      </c>
      <c r="K605" t="s">
        <v>19</v>
      </c>
      <c r="L605">
        <v>60000</v>
      </c>
      <c r="M605" t="s">
        <v>29</v>
      </c>
      <c r="N605" t="s">
        <v>39</v>
      </c>
      <c r="O605">
        <v>1</v>
      </c>
    </row>
    <row r="606" spans="1:15" x14ac:dyDescent="0.3">
      <c r="A606" t="s">
        <v>651</v>
      </c>
      <c r="B606">
        <v>30</v>
      </c>
      <c r="C606" t="s">
        <v>15</v>
      </c>
      <c r="D606" t="s">
        <v>16</v>
      </c>
      <c r="E606" t="s">
        <v>17</v>
      </c>
      <c r="F606" t="s">
        <v>26</v>
      </c>
      <c r="G606">
        <v>5</v>
      </c>
      <c r="H606">
        <v>5</v>
      </c>
      <c r="I606" t="s">
        <v>381</v>
      </c>
      <c r="J606">
        <v>3.9</v>
      </c>
      <c r="K606" t="s">
        <v>19</v>
      </c>
      <c r="L606">
        <v>70000</v>
      </c>
      <c r="M606" t="s">
        <v>19</v>
      </c>
      <c r="N606" t="s">
        <v>21</v>
      </c>
      <c r="O606">
        <v>0</v>
      </c>
    </row>
    <row r="607" spans="1:15" x14ac:dyDescent="0.3">
      <c r="A607" t="s">
        <v>652</v>
      </c>
      <c r="B607">
        <v>31</v>
      </c>
      <c r="C607" t="s">
        <v>23</v>
      </c>
      <c r="D607" t="s">
        <v>24</v>
      </c>
      <c r="E607" t="s">
        <v>25</v>
      </c>
      <c r="F607" t="s">
        <v>37</v>
      </c>
      <c r="G607">
        <v>4</v>
      </c>
      <c r="H607">
        <v>5</v>
      </c>
      <c r="I607" t="s">
        <v>381</v>
      </c>
      <c r="J607">
        <v>3.5</v>
      </c>
      <c r="K607" t="s">
        <v>48</v>
      </c>
      <c r="L607">
        <v>75000</v>
      </c>
      <c r="M607" t="s">
        <v>51</v>
      </c>
      <c r="N607" t="s">
        <v>39</v>
      </c>
      <c r="O607">
        <v>1</v>
      </c>
    </row>
    <row r="608" spans="1:15" x14ac:dyDescent="0.3">
      <c r="A608" t="s">
        <v>653</v>
      </c>
      <c r="B608">
        <v>29</v>
      </c>
      <c r="C608" t="s">
        <v>15</v>
      </c>
      <c r="D608" t="s">
        <v>16</v>
      </c>
      <c r="E608" t="s">
        <v>31</v>
      </c>
      <c r="F608" t="s">
        <v>42</v>
      </c>
      <c r="G608">
        <v>3</v>
      </c>
      <c r="H608">
        <v>5</v>
      </c>
      <c r="I608" t="s">
        <v>381</v>
      </c>
      <c r="J608">
        <v>3.4</v>
      </c>
      <c r="K608" t="s">
        <v>48</v>
      </c>
      <c r="L608">
        <v>59000</v>
      </c>
      <c r="M608" t="s">
        <v>29</v>
      </c>
      <c r="N608" t="s">
        <v>21</v>
      </c>
      <c r="O608">
        <v>0</v>
      </c>
    </row>
    <row r="609" spans="1:15" x14ac:dyDescent="0.3">
      <c r="A609" t="s">
        <v>654</v>
      </c>
      <c r="B609">
        <v>40</v>
      </c>
      <c r="C609" t="s">
        <v>44</v>
      </c>
      <c r="D609" t="s">
        <v>24</v>
      </c>
      <c r="E609" t="s">
        <v>36</v>
      </c>
      <c r="F609" t="s">
        <v>37</v>
      </c>
      <c r="G609">
        <v>8</v>
      </c>
      <c r="H609">
        <v>5</v>
      </c>
      <c r="I609" t="s">
        <v>381</v>
      </c>
      <c r="J609">
        <v>3.7</v>
      </c>
      <c r="K609" t="s">
        <v>19</v>
      </c>
      <c r="L609">
        <v>70000</v>
      </c>
      <c r="M609" t="s">
        <v>19</v>
      </c>
      <c r="N609" t="s">
        <v>39</v>
      </c>
      <c r="O609">
        <v>1</v>
      </c>
    </row>
    <row r="610" spans="1:15" x14ac:dyDescent="0.3">
      <c r="A610" t="s">
        <v>655</v>
      </c>
      <c r="B610">
        <v>45</v>
      </c>
      <c r="C610" t="s">
        <v>35</v>
      </c>
      <c r="D610" t="s">
        <v>16</v>
      </c>
      <c r="E610" t="s">
        <v>41</v>
      </c>
      <c r="F610" t="s">
        <v>42</v>
      </c>
      <c r="G610">
        <v>11</v>
      </c>
      <c r="H610">
        <v>5</v>
      </c>
      <c r="I610" t="s">
        <v>381</v>
      </c>
      <c r="J610">
        <v>4.0999999999999996</v>
      </c>
      <c r="K610" t="s">
        <v>28</v>
      </c>
      <c r="L610">
        <v>59000</v>
      </c>
      <c r="M610" t="s">
        <v>29</v>
      </c>
      <c r="N610" t="s">
        <v>21</v>
      </c>
      <c r="O610">
        <v>0</v>
      </c>
    </row>
    <row r="611" spans="1:15" x14ac:dyDescent="0.3">
      <c r="A611" t="s">
        <v>656</v>
      </c>
      <c r="B611">
        <v>32</v>
      </c>
      <c r="C611" t="s">
        <v>23</v>
      </c>
      <c r="D611" t="s">
        <v>24</v>
      </c>
      <c r="E611" t="s">
        <v>31</v>
      </c>
      <c r="F611" t="s">
        <v>42</v>
      </c>
      <c r="G611">
        <v>4</v>
      </c>
      <c r="H611">
        <v>5</v>
      </c>
      <c r="I611" t="s">
        <v>381</v>
      </c>
      <c r="J611">
        <v>3.8</v>
      </c>
      <c r="K611" t="s">
        <v>19</v>
      </c>
      <c r="L611">
        <v>73000</v>
      </c>
      <c r="M611" t="s">
        <v>51</v>
      </c>
      <c r="N611" t="s">
        <v>39</v>
      </c>
      <c r="O611">
        <v>1</v>
      </c>
    </row>
    <row r="612" spans="1:15" x14ac:dyDescent="0.3">
      <c r="A612" t="s">
        <v>657</v>
      </c>
      <c r="B612">
        <v>29</v>
      </c>
      <c r="C612" t="s">
        <v>15</v>
      </c>
      <c r="D612" t="s">
        <v>16</v>
      </c>
      <c r="E612" t="s">
        <v>36</v>
      </c>
      <c r="F612" t="s">
        <v>37</v>
      </c>
      <c r="G612">
        <v>4</v>
      </c>
      <c r="H612">
        <v>5</v>
      </c>
      <c r="I612" t="s">
        <v>381</v>
      </c>
      <c r="J612">
        <v>3.5</v>
      </c>
      <c r="K612" t="s">
        <v>48</v>
      </c>
      <c r="L612">
        <v>75000</v>
      </c>
      <c r="M612" t="s">
        <v>51</v>
      </c>
      <c r="N612" t="s">
        <v>21</v>
      </c>
      <c r="O612">
        <v>0</v>
      </c>
    </row>
    <row r="613" spans="1:15" x14ac:dyDescent="0.3">
      <c r="A613" t="s">
        <v>658</v>
      </c>
      <c r="B613">
        <v>33</v>
      </c>
      <c r="C613" t="s">
        <v>23</v>
      </c>
      <c r="D613" t="s">
        <v>24</v>
      </c>
      <c r="E613" t="s">
        <v>45</v>
      </c>
      <c r="F613" t="s">
        <v>32</v>
      </c>
      <c r="G613">
        <v>6</v>
      </c>
      <c r="H613">
        <v>5</v>
      </c>
      <c r="I613" t="s">
        <v>381</v>
      </c>
      <c r="J613">
        <v>3.8</v>
      </c>
      <c r="K613" t="s">
        <v>19</v>
      </c>
      <c r="L613">
        <v>42000</v>
      </c>
      <c r="M613" t="s">
        <v>20</v>
      </c>
      <c r="N613" t="s">
        <v>39</v>
      </c>
      <c r="O613">
        <v>1</v>
      </c>
    </row>
    <row r="614" spans="1:15" x14ac:dyDescent="0.3">
      <c r="A614" t="s">
        <v>659</v>
      </c>
      <c r="B614">
        <v>37</v>
      </c>
      <c r="C614" t="s">
        <v>44</v>
      </c>
      <c r="D614" t="s">
        <v>16</v>
      </c>
      <c r="E614" t="s">
        <v>25</v>
      </c>
      <c r="F614" t="s">
        <v>37</v>
      </c>
      <c r="G614">
        <v>7</v>
      </c>
      <c r="H614">
        <v>5</v>
      </c>
      <c r="I614" t="s">
        <v>381</v>
      </c>
      <c r="J614">
        <v>4.3</v>
      </c>
      <c r="K614" t="s">
        <v>28</v>
      </c>
      <c r="L614">
        <v>76000</v>
      </c>
      <c r="M614" t="s">
        <v>51</v>
      </c>
      <c r="N614" t="s">
        <v>21</v>
      </c>
      <c r="O614">
        <v>0</v>
      </c>
    </row>
    <row r="615" spans="1:15" x14ac:dyDescent="0.3">
      <c r="A615" t="s">
        <v>660</v>
      </c>
      <c r="B615">
        <v>28</v>
      </c>
      <c r="C615" t="s">
        <v>15</v>
      </c>
      <c r="D615" t="s">
        <v>24</v>
      </c>
      <c r="E615" t="s">
        <v>17</v>
      </c>
      <c r="F615" t="s">
        <v>18</v>
      </c>
      <c r="G615">
        <v>2</v>
      </c>
      <c r="H615">
        <v>5</v>
      </c>
      <c r="I615" t="s">
        <v>381</v>
      </c>
      <c r="J615">
        <v>3.2</v>
      </c>
      <c r="K615" t="s">
        <v>48</v>
      </c>
      <c r="L615">
        <v>58000</v>
      </c>
      <c r="M615" t="s">
        <v>29</v>
      </c>
      <c r="N615" t="s">
        <v>39</v>
      </c>
      <c r="O615">
        <v>1</v>
      </c>
    </row>
    <row r="616" spans="1:15" x14ac:dyDescent="0.3">
      <c r="A616" t="s">
        <v>661</v>
      </c>
      <c r="B616">
        <v>34</v>
      </c>
      <c r="C616" t="s">
        <v>23</v>
      </c>
      <c r="D616" t="s">
        <v>16</v>
      </c>
      <c r="E616" t="s">
        <v>36</v>
      </c>
      <c r="F616" t="s">
        <v>37</v>
      </c>
      <c r="G616">
        <v>6</v>
      </c>
      <c r="H616">
        <v>5</v>
      </c>
      <c r="I616" t="s">
        <v>381</v>
      </c>
      <c r="J616">
        <v>3.7</v>
      </c>
      <c r="K616" t="s">
        <v>19</v>
      </c>
      <c r="L616">
        <v>70000</v>
      </c>
      <c r="M616" t="s">
        <v>19</v>
      </c>
      <c r="N616" t="s">
        <v>21</v>
      </c>
      <c r="O616">
        <v>0</v>
      </c>
    </row>
    <row r="617" spans="1:15" x14ac:dyDescent="0.3">
      <c r="A617" t="s">
        <v>662</v>
      </c>
      <c r="B617">
        <v>36</v>
      </c>
      <c r="C617" t="s">
        <v>44</v>
      </c>
      <c r="D617" t="s">
        <v>24</v>
      </c>
      <c r="E617" t="s">
        <v>45</v>
      </c>
      <c r="F617" t="s">
        <v>32</v>
      </c>
      <c r="G617">
        <v>8</v>
      </c>
      <c r="H617">
        <v>5</v>
      </c>
      <c r="I617" t="s">
        <v>381</v>
      </c>
      <c r="J617">
        <v>4</v>
      </c>
      <c r="K617" t="s">
        <v>19</v>
      </c>
      <c r="L617">
        <v>60000</v>
      </c>
      <c r="M617" t="s">
        <v>29</v>
      </c>
      <c r="N617" t="s">
        <v>39</v>
      </c>
      <c r="O617">
        <v>1</v>
      </c>
    </row>
    <row r="618" spans="1:15" x14ac:dyDescent="0.3">
      <c r="A618" t="s">
        <v>663</v>
      </c>
      <c r="B618">
        <v>30</v>
      </c>
      <c r="C618" t="s">
        <v>15</v>
      </c>
      <c r="D618" t="s">
        <v>16</v>
      </c>
      <c r="E618" t="s">
        <v>17</v>
      </c>
      <c r="F618" t="s">
        <v>26</v>
      </c>
      <c r="G618">
        <v>5</v>
      </c>
      <c r="H618">
        <v>5</v>
      </c>
      <c r="I618" t="s">
        <v>381</v>
      </c>
      <c r="J618">
        <v>3.9</v>
      </c>
      <c r="K618" t="s">
        <v>19</v>
      </c>
      <c r="L618">
        <v>70000</v>
      </c>
      <c r="M618" t="s">
        <v>19</v>
      </c>
      <c r="N618" t="s">
        <v>21</v>
      </c>
      <c r="O618">
        <v>0</v>
      </c>
    </row>
    <row r="619" spans="1:15" x14ac:dyDescent="0.3">
      <c r="A619" t="s">
        <v>664</v>
      </c>
      <c r="B619">
        <v>31</v>
      </c>
      <c r="C619" t="s">
        <v>23</v>
      </c>
      <c r="D619" t="s">
        <v>24</v>
      </c>
      <c r="E619" t="s">
        <v>25</v>
      </c>
      <c r="F619" t="s">
        <v>37</v>
      </c>
      <c r="G619">
        <v>4</v>
      </c>
      <c r="H619">
        <v>5</v>
      </c>
      <c r="I619" t="s">
        <v>381</v>
      </c>
      <c r="J619">
        <v>3.5</v>
      </c>
      <c r="K619" t="s">
        <v>48</v>
      </c>
      <c r="L619">
        <v>75000</v>
      </c>
      <c r="M619" t="s">
        <v>51</v>
      </c>
      <c r="N619" t="s">
        <v>39</v>
      </c>
      <c r="O619">
        <v>1</v>
      </c>
    </row>
    <row r="620" spans="1:15" x14ac:dyDescent="0.3">
      <c r="A620" t="s">
        <v>665</v>
      </c>
      <c r="B620">
        <v>29</v>
      </c>
      <c r="C620" t="s">
        <v>15</v>
      </c>
      <c r="D620" t="s">
        <v>16</v>
      </c>
      <c r="E620" t="s">
        <v>31</v>
      </c>
      <c r="F620" t="s">
        <v>42</v>
      </c>
      <c r="G620">
        <v>3</v>
      </c>
      <c r="H620">
        <v>5</v>
      </c>
      <c r="I620" t="s">
        <v>381</v>
      </c>
      <c r="J620">
        <v>3.4</v>
      </c>
      <c r="K620" t="s">
        <v>48</v>
      </c>
      <c r="L620">
        <v>59000</v>
      </c>
      <c r="M620" t="s">
        <v>29</v>
      </c>
      <c r="N620" t="s">
        <v>21</v>
      </c>
      <c r="O620">
        <v>0</v>
      </c>
    </row>
    <row r="621" spans="1:15" x14ac:dyDescent="0.3">
      <c r="A621" t="s">
        <v>666</v>
      </c>
      <c r="B621">
        <v>40</v>
      </c>
      <c r="C621" t="s">
        <v>44</v>
      </c>
      <c r="D621" t="s">
        <v>24</v>
      </c>
      <c r="E621" t="s">
        <v>36</v>
      </c>
      <c r="F621" t="s">
        <v>37</v>
      </c>
      <c r="G621">
        <v>8</v>
      </c>
      <c r="H621">
        <v>5</v>
      </c>
      <c r="I621" t="s">
        <v>381</v>
      </c>
      <c r="J621">
        <v>3.7</v>
      </c>
      <c r="K621" t="s">
        <v>19</v>
      </c>
      <c r="L621">
        <v>70000</v>
      </c>
      <c r="M621" t="s">
        <v>19</v>
      </c>
      <c r="N621" t="s">
        <v>39</v>
      </c>
      <c r="O621">
        <v>1</v>
      </c>
    </row>
    <row r="622" spans="1:15" x14ac:dyDescent="0.3">
      <c r="A622" t="s">
        <v>667</v>
      </c>
      <c r="B622">
        <v>35</v>
      </c>
      <c r="C622" t="s">
        <v>23</v>
      </c>
      <c r="D622" t="s">
        <v>16</v>
      </c>
      <c r="E622" t="s">
        <v>17</v>
      </c>
      <c r="F622" t="s">
        <v>18</v>
      </c>
      <c r="G622">
        <v>9</v>
      </c>
      <c r="H622">
        <v>9</v>
      </c>
      <c r="I622" t="s">
        <v>38</v>
      </c>
      <c r="J622">
        <v>3.6</v>
      </c>
      <c r="K622" t="s">
        <v>19</v>
      </c>
      <c r="L622">
        <v>60000</v>
      </c>
      <c r="M622" t="s">
        <v>29</v>
      </c>
      <c r="N622" t="s">
        <v>39</v>
      </c>
      <c r="O622">
        <v>1</v>
      </c>
    </row>
    <row r="623" spans="1:15" x14ac:dyDescent="0.3">
      <c r="A623" t="s">
        <v>668</v>
      </c>
      <c r="B623">
        <v>27</v>
      </c>
      <c r="C623" t="s">
        <v>15</v>
      </c>
      <c r="D623" t="s">
        <v>24</v>
      </c>
      <c r="E623" t="s">
        <v>31</v>
      </c>
      <c r="F623" t="s">
        <v>42</v>
      </c>
      <c r="G623">
        <v>3</v>
      </c>
      <c r="H623">
        <v>6</v>
      </c>
      <c r="I623" t="s">
        <v>33</v>
      </c>
      <c r="J623">
        <v>3.5</v>
      </c>
      <c r="K623" t="s">
        <v>48</v>
      </c>
      <c r="L623">
        <v>58000</v>
      </c>
      <c r="M623" t="s">
        <v>29</v>
      </c>
      <c r="N623" t="s">
        <v>21</v>
      </c>
      <c r="O623">
        <v>0</v>
      </c>
    </row>
    <row r="624" spans="1:15" x14ac:dyDescent="0.3">
      <c r="A624" t="s">
        <v>669</v>
      </c>
      <c r="B624">
        <v>32</v>
      </c>
      <c r="C624" t="s">
        <v>23</v>
      </c>
      <c r="D624" t="s">
        <v>16</v>
      </c>
      <c r="E624" t="s">
        <v>25</v>
      </c>
      <c r="F624" t="s">
        <v>37</v>
      </c>
      <c r="G624">
        <v>7</v>
      </c>
      <c r="H624">
        <v>8</v>
      </c>
      <c r="I624" t="s">
        <v>27</v>
      </c>
      <c r="J624">
        <v>3.8</v>
      </c>
      <c r="K624" t="s">
        <v>19</v>
      </c>
      <c r="L624">
        <v>70000</v>
      </c>
      <c r="M624" t="s">
        <v>19</v>
      </c>
      <c r="N624" t="s">
        <v>39</v>
      </c>
      <c r="O624">
        <v>1</v>
      </c>
    </row>
    <row r="625" spans="1:15" x14ac:dyDescent="0.3">
      <c r="A625" t="s">
        <v>670</v>
      </c>
      <c r="B625">
        <v>40</v>
      </c>
      <c r="C625" t="s">
        <v>44</v>
      </c>
      <c r="D625" t="s">
        <v>24</v>
      </c>
      <c r="E625" t="s">
        <v>36</v>
      </c>
      <c r="F625" t="s">
        <v>37</v>
      </c>
      <c r="G625">
        <v>12</v>
      </c>
      <c r="H625">
        <v>7</v>
      </c>
      <c r="I625" t="s">
        <v>19</v>
      </c>
      <c r="J625">
        <v>3.4</v>
      </c>
      <c r="K625" t="s">
        <v>48</v>
      </c>
      <c r="L625">
        <v>75000</v>
      </c>
      <c r="M625" t="s">
        <v>51</v>
      </c>
      <c r="N625" t="s">
        <v>21</v>
      </c>
      <c r="O625">
        <v>0</v>
      </c>
    </row>
    <row r="626" spans="1:15" x14ac:dyDescent="0.3">
      <c r="A626" t="s">
        <v>671</v>
      </c>
      <c r="B626">
        <v>43</v>
      </c>
      <c r="C626" t="s">
        <v>35</v>
      </c>
      <c r="D626" t="s">
        <v>16</v>
      </c>
      <c r="E626" t="s">
        <v>41</v>
      </c>
      <c r="F626" t="s">
        <v>42</v>
      </c>
      <c r="G626">
        <v>16</v>
      </c>
      <c r="H626">
        <v>9</v>
      </c>
      <c r="I626" t="s">
        <v>38</v>
      </c>
      <c r="J626">
        <v>4.0999999999999996</v>
      </c>
      <c r="K626" t="s">
        <v>28</v>
      </c>
      <c r="L626">
        <v>65000</v>
      </c>
      <c r="M626" t="s">
        <v>19</v>
      </c>
      <c r="N626" t="s">
        <v>39</v>
      </c>
      <c r="O626">
        <v>1</v>
      </c>
    </row>
    <row r="627" spans="1:15" x14ac:dyDescent="0.3">
      <c r="A627" t="s">
        <v>672</v>
      </c>
      <c r="B627">
        <v>29</v>
      </c>
      <c r="C627" t="s">
        <v>15</v>
      </c>
      <c r="D627" t="s">
        <v>24</v>
      </c>
      <c r="E627" t="s">
        <v>45</v>
      </c>
      <c r="F627" t="s">
        <v>32</v>
      </c>
      <c r="G627">
        <v>2</v>
      </c>
      <c r="H627">
        <v>6</v>
      </c>
      <c r="I627" t="s">
        <v>33</v>
      </c>
      <c r="J627">
        <v>3.7</v>
      </c>
      <c r="K627" t="s">
        <v>19</v>
      </c>
      <c r="L627">
        <v>60000</v>
      </c>
      <c r="M627" t="s">
        <v>29</v>
      </c>
      <c r="N627" t="s">
        <v>21</v>
      </c>
      <c r="O627">
        <v>0</v>
      </c>
    </row>
    <row r="628" spans="1:15" x14ac:dyDescent="0.3">
      <c r="A628" t="s">
        <v>673</v>
      </c>
      <c r="B628">
        <v>45</v>
      </c>
      <c r="C628" t="s">
        <v>35</v>
      </c>
      <c r="D628" t="s">
        <v>16</v>
      </c>
      <c r="E628" t="s">
        <v>17</v>
      </c>
      <c r="F628" t="s">
        <v>26</v>
      </c>
      <c r="G628">
        <v>13</v>
      </c>
      <c r="H628">
        <v>8</v>
      </c>
      <c r="I628" t="s">
        <v>27</v>
      </c>
      <c r="J628">
        <v>4</v>
      </c>
      <c r="K628" t="s">
        <v>19</v>
      </c>
      <c r="L628">
        <v>64000</v>
      </c>
      <c r="M628" t="s">
        <v>19</v>
      </c>
      <c r="N628" t="s">
        <v>39</v>
      </c>
      <c r="O628">
        <v>1</v>
      </c>
    </row>
    <row r="629" spans="1:15" x14ac:dyDescent="0.3">
      <c r="A629" t="s">
        <v>674</v>
      </c>
      <c r="B629">
        <v>32</v>
      </c>
      <c r="C629" t="s">
        <v>23</v>
      </c>
      <c r="D629" t="s">
        <v>24</v>
      </c>
      <c r="E629" t="s">
        <v>31</v>
      </c>
      <c r="F629" t="s">
        <v>42</v>
      </c>
      <c r="G629">
        <v>5</v>
      </c>
      <c r="H629">
        <v>9</v>
      </c>
      <c r="I629" t="s">
        <v>38</v>
      </c>
      <c r="J629">
        <v>3.9</v>
      </c>
      <c r="K629" t="s">
        <v>19</v>
      </c>
      <c r="L629">
        <v>61000</v>
      </c>
      <c r="M629" t="s">
        <v>19</v>
      </c>
      <c r="N629" t="s">
        <v>21</v>
      </c>
      <c r="O629">
        <v>0</v>
      </c>
    </row>
    <row r="630" spans="1:15" x14ac:dyDescent="0.3">
      <c r="A630" t="s">
        <v>675</v>
      </c>
      <c r="B630">
        <v>34</v>
      </c>
      <c r="C630" t="s">
        <v>23</v>
      </c>
      <c r="D630" t="s">
        <v>16</v>
      </c>
      <c r="E630" t="s">
        <v>36</v>
      </c>
      <c r="F630" t="s">
        <v>37</v>
      </c>
      <c r="G630">
        <v>8</v>
      </c>
      <c r="H630">
        <v>7</v>
      </c>
      <c r="I630" t="s">
        <v>19</v>
      </c>
      <c r="J630">
        <v>3.5</v>
      </c>
      <c r="K630" t="s">
        <v>48</v>
      </c>
      <c r="L630">
        <v>59000</v>
      </c>
      <c r="M630" t="s">
        <v>29</v>
      </c>
      <c r="N630" t="s">
        <v>39</v>
      </c>
      <c r="O630">
        <v>1</v>
      </c>
    </row>
    <row r="631" spans="1:15" x14ac:dyDescent="0.3">
      <c r="A631" t="s">
        <v>676</v>
      </c>
      <c r="B631">
        <v>31</v>
      </c>
      <c r="C631" t="s">
        <v>23</v>
      </c>
      <c r="D631" t="s">
        <v>24</v>
      </c>
      <c r="E631" t="s">
        <v>45</v>
      </c>
      <c r="F631" t="s">
        <v>32</v>
      </c>
      <c r="G631">
        <v>4</v>
      </c>
      <c r="H631">
        <v>6</v>
      </c>
      <c r="I631" t="s">
        <v>33</v>
      </c>
      <c r="J631">
        <v>3.8</v>
      </c>
      <c r="K631" t="s">
        <v>19</v>
      </c>
      <c r="L631">
        <v>61000</v>
      </c>
      <c r="M631" t="s">
        <v>19</v>
      </c>
      <c r="N631" t="s">
        <v>21</v>
      </c>
      <c r="O631">
        <v>0</v>
      </c>
    </row>
    <row r="632" spans="1:15" x14ac:dyDescent="0.3">
      <c r="A632" t="s">
        <v>677</v>
      </c>
      <c r="B632">
        <v>37</v>
      </c>
      <c r="C632" t="s">
        <v>44</v>
      </c>
      <c r="D632" t="s">
        <v>16</v>
      </c>
      <c r="E632" t="s">
        <v>25</v>
      </c>
      <c r="F632" t="s">
        <v>37</v>
      </c>
      <c r="G632">
        <v>9</v>
      </c>
      <c r="H632">
        <v>8</v>
      </c>
      <c r="I632" t="s">
        <v>27</v>
      </c>
      <c r="J632">
        <v>4.3</v>
      </c>
      <c r="K632" t="s">
        <v>28</v>
      </c>
      <c r="L632">
        <v>76000</v>
      </c>
      <c r="M632" t="s">
        <v>51</v>
      </c>
      <c r="N632" t="s">
        <v>39</v>
      </c>
      <c r="O632">
        <v>1</v>
      </c>
    </row>
    <row r="633" spans="1:15" x14ac:dyDescent="0.3">
      <c r="A633" t="s">
        <v>678</v>
      </c>
      <c r="B633">
        <v>28</v>
      </c>
      <c r="C633" t="s">
        <v>15</v>
      </c>
      <c r="D633" t="s">
        <v>24</v>
      </c>
      <c r="E633" t="s">
        <v>17</v>
      </c>
      <c r="F633" t="s">
        <v>18</v>
      </c>
      <c r="G633">
        <v>3</v>
      </c>
      <c r="H633">
        <v>6</v>
      </c>
      <c r="I633" t="s">
        <v>33</v>
      </c>
      <c r="J633">
        <v>3.2</v>
      </c>
      <c r="K633" t="s">
        <v>48</v>
      </c>
      <c r="L633">
        <v>58000</v>
      </c>
      <c r="M633" t="s">
        <v>29</v>
      </c>
      <c r="N633" t="s">
        <v>21</v>
      </c>
      <c r="O633">
        <v>0</v>
      </c>
    </row>
    <row r="634" spans="1:15" x14ac:dyDescent="0.3">
      <c r="A634" t="s">
        <v>679</v>
      </c>
      <c r="B634">
        <v>39</v>
      </c>
      <c r="C634" t="s">
        <v>44</v>
      </c>
      <c r="D634" t="s">
        <v>16</v>
      </c>
      <c r="E634" t="s">
        <v>36</v>
      </c>
      <c r="F634" t="s">
        <v>37</v>
      </c>
      <c r="G634">
        <v>10</v>
      </c>
      <c r="H634">
        <v>7</v>
      </c>
      <c r="I634" t="s">
        <v>19</v>
      </c>
      <c r="J634">
        <v>3.7</v>
      </c>
      <c r="K634" t="s">
        <v>19</v>
      </c>
      <c r="L634">
        <v>70000</v>
      </c>
      <c r="M634" t="s">
        <v>19</v>
      </c>
      <c r="N634" t="s">
        <v>39</v>
      </c>
      <c r="O634">
        <v>1</v>
      </c>
    </row>
    <row r="635" spans="1:15" x14ac:dyDescent="0.3">
      <c r="A635" t="s">
        <v>680</v>
      </c>
      <c r="B635">
        <v>36</v>
      </c>
      <c r="C635" t="s">
        <v>44</v>
      </c>
      <c r="D635" t="s">
        <v>24</v>
      </c>
      <c r="E635" t="s">
        <v>45</v>
      </c>
      <c r="F635" t="s">
        <v>32</v>
      </c>
      <c r="G635">
        <v>7</v>
      </c>
      <c r="H635">
        <v>8</v>
      </c>
      <c r="I635" t="s">
        <v>27</v>
      </c>
      <c r="J635">
        <v>4</v>
      </c>
      <c r="K635" t="s">
        <v>19</v>
      </c>
      <c r="L635">
        <v>60000</v>
      </c>
      <c r="M635" t="s">
        <v>29</v>
      </c>
      <c r="N635" t="s">
        <v>21</v>
      </c>
      <c r="O635">
        <v>0</v>
      </c>
    </row>
    <row r="636" spans="1:15" x14ac:dyDescent="0.3">
      <c r="A636" t="s">
        <v>681</v>
      </c>
      <c r="B636">
        <v>33</v>
      </c>
      <c r="C636" t="s">
        <v>23</v>
      </c>
      <c r="D636" t="s">
        <v>16</v>
      </c>
      <c r="E636" t="s">
        <v>17</v>
      </c>
      <c r="F636" t="s">
        <v>26</v>
      </c>
      <c r="G636">
        <v>6</v>
      </c>
      <c r="H636">
        <v>7</v>
      </c>
      <c r="I636" t="s">
        <v>19</v>
      </c>
      <c r="J636">
        <v>3.9</v>
      </c>
      <c r="K636" t="s">
        <v>19</v>
      </c>
      <c r="L636">
        <v>70000</v>
      </c>
      <c r="M636" t="s">
        <v>19</v>
      </c>
      <c r="N636" t="s">
        <v>39</v>
      </c>
      <c r="O636">
        <v>1</v>
      </c>
    </row>
    <row r="637" spans="1:15" x14ac:dyDescent="0.3">
      <c r="A637" t="s">
        <v>682</v>
      </c>
      <c r="B637">
        <v>31</v>
      </c>
      <c r="C637" t="s">
        <v>23</v>
      </c>
      <c r="D637" t="s">
        <v>24</v>
      </c>
      <c r="E637" t="s">
        <v>25</v>
      </c>
      <c r="F637" t="s">
        <v>37</v>
      </c>
      <c r="G637">
        <v>5</v>
      </c>
      <c r="H637">
        <v>8</v>
      </c>
      <c r="I637" t="s">
        <v>27</v>
      </c>
      <c r="J637">
        <v>3.5</v>
      </c>
      <c r="K637" t="s">
        <v>48</v>
      </c>
      <c r="L637">
        <v>75000</v>
      </c>
      <c r="M637" t="s">
        <v>51</v>
      </c>
      <c r="N637" t="s">
        <v>21</v>
      </c>
      <c r="O637">
        <v>0</v>
      </c>
    </row>
    <row r="638" spans="1:15" x14ac:dyDescent="0.3">
      <c r="A638" t="s">
        <v>683</v>
      </c>
      <c r="B638">
        <v>29</v>
      </c>
      <c r="C638" t="s">
        <v>15</v>
      </c>
      <c r="D638" t="s">
        <v>16</v>
      </c>
      <c r="E638" t="s">
        <v>31</v>
      </c>
      <c r="F638" t="s">
        <v>42</v>
      </c>
      <c r="G638">
        <v>3</v>
      </c>
      <c r="H638">
        <v>7</v>
      </c>
      <c r="I638" t="s">
        <v>19</v>
      </c>
      <c r="J638">
        <v>3.4</v>
      </c>
      <c r="K638" t="s">
        <v>48</v>
      </c>
      <c r="L638">
        <v>59000</v>
      </c>
      <c r="M638" t="s">
        <v>29</v>
      </c>
      <c r="N638" t="s">
        <v>39</v>
      </c>
      <c r="O638">
        <v>1</v>
      </c>
    </row>
    <row r="639" spans="1:15" x14ac:dyDescent="0.3">
      <c r="A639" t="s">
        <v>684</v>
      </c>
      <c r="B639">
        <v>42</v>
      </c>
      <c r="C639" t="s">
        <v>35</v>
      </c>
      <c r="D639" t="s">
        <v>24</v>
      </c>
      <c r="E639" t="s">
        <v>36</v>
      </c>
      <c r="F639" t="s">
        <v>37</v>
      </c>
      <c r="G639">
        <v>11</v>
      </c>
      <c r="H639">
        <v>8</v>
      </c>
      <c r="I639" t="s">
        <v>27</v>
      </c>
      <c r="J639">
        <v>3.7</v>
      </c>
      <c r="K639" t="s">
        <v>19</v>
      </c>
      <c r="L639">
        <v>70000</v>
      </c>
      <c r="M639" t="s">
        <v>19</v>
      </c>
      <c r="N639" t="s">
        <v>21</v>
      </c>
      <c r="O639">
        <v>0</v>
      </c>
    </row>
    <row r="640" spans="1:15" x14ac:dyDescent="0.3">
      <c r="A640" t="s">
        <v>685</v>
      </c>
      <c r="B640">
        <v>38</v>
      </c>
      <c r="C640" t="s">
        <v>44</v>
      </c>
      <c r="D640" t="s">
        <v>16</v>
      </c>
      <c r="E640" t="s">
        <v>45</v>
      </c>
      <c r="F640" t="s">
        <v>32</v>
      </c>
      <c r="G640">
        <v>9</v>
      </c>
      <c r="H640">
        <v>6</v>
      </c>
      <c r="I640" t="s">
        <v>33</v>
      </c>
      <c r="J640">
        <v>4</v>
      </c>
      <c r="K640" t="s">
        <v>19</v>
      </c>
      <c r="L640">
        <v>60000</v>
      </c>
      <c r="M640" t="s">
        <v>29</v>
      </c>
      <c r="N640" t="s">
        <v>39</v>
      </c>
      <c r="O640">
        <v>1</v>
      </c>
    </row>
    <row r="641" spans="1:15" x14ac:dyDescent="0.3">
      <c r="A641" t="s">
        <v>686</v>
      </c>
      <c r="B641">
        <v>35</v>
      </c>
      <c r="C641" t="s">
        <v>23</v>
      </c>
      <c r="D641" t="s">
        <v>24</v>
      </c>
      <c r="E641" t="s">
        <v>17</v>
      </c>
      <c r="F641" t="s">
        <v>18</v>
      </c>
      <c r="G641">
        <v>8</v>
      </c>
      <c r="H641">
        <v>9</v>
      </c>
      <c r="I641" t="s">
        <v>38</v>
      </c>
      <c r="J641">
        <v>3.2</v>
      </c>
      <c r="K641" t="s">
        <v>48</v>
      </c>
      <c r="L641">
        <v>58000</v>
      </c>
      <c r="M641" t="s">
        <v>29</v>
      </c>
      <c r="N641" t="s">
        <v>21</v>
      </c>
      <c r="O641">
        <v>0</v>
      </c>
    </row>
    <row r="642" spans="1:15" x14ac:dyDescent="0.3">
      <c r="A642" t="s">
        <v>687</v>
      </c>
      <c r="B642">
        <v>32</v>
      </c>
      <c r="C642" t="s">
        <v>23</v>
      </c>
      <c r="D642" t="s">
        <v>16</v>
      </c>
      <c r="E642" t="s">
        <v>36</v>
      </c>
      <c r="F642" t="s">
        <v>37</v>
      </c>
      <c r="G642">
        <v>7</v>
      </c>
      <c r="H642">
        <v>7</v>
      </c>
      <c r="I642" t="s">
        <v>19</v>
      </c>
      <c r="J642">
        <v>3.7</v>
      </c>
      <c r="K642" t="s">
        <v>19</v>
      </c>
      <c r="L642">
        <v>70000</v>
      </c>
      <c r="M642" t="s">
        <v>19</v>
      </c>
      <c r="N642" t="s">
        <v>39</v>
      </c>
      <c r="O642">
        <v>1</v>
      </c>
    </row>
    <row r="643" spans="1:15" x14ac:dyDescent="0.3">
      <c r="A643" t="s">
        <v>688</v>
      </c>
      <c r="B643">
        <v>30</v>
      </c>
      <c r="C643" t="s">
        <v>15</v>
      </c>
      <c r="D643" t="s">
        <v>24</v>
      </c>
      <c r="E643" t="s">
        <v>25</v>
      </c>
      <c r="F643" t="s">
        <v>37</v>
      </c>
      <c r="G643">
        <v>6</v>
      </c>
      <c r="H643">
        <v>8</v>
      </c>
      <c r="I643" t="s">
        <v>27</v>
      </c>
      <c r="J643">
        <v>4</v>
      </c>
      <c r="K643" t="s">
        <v>19</v>
      </c>
      <c r="L643">
        <v>60000</v>
      </c>
      <c r="M643" t="s">
        <v>29</v>
      </c>
      <c r="N643" t="s">
        <v>21</v>
      </c>
      <c r="O643">
        <v>0</v>
      </c>
    </row>
    <row r="644" spans="1:15" x14ac:dyDescent="0.3">
      <c r="A644" t="s">
        <v>689</v>
      </c>
      <c r="B644">
        <v>33</v>
      </c>
      <c r="C644" t="s">
        <v>23</v>
      </c>
      <c r="D644" t="s">
        <v>16</v>
      </c>
      <c r="E644" t="s">
        <v>31</v>
      </c>
      <c r="F644" t="s">
        <v>42</v>
      </c>
      <c r="G644">
        <v>5</v>
      </c>
      <c r="H644">
        <v>7</v>
      </c>
      <c r="I644" t="s">
        <v>19</v>
      </c>
      <c r="J644">
        <v>3.9</v>
      </c>
      <c r="K644" t="s">
        <v>19</v>
      </c>
      <c r="L644">
        <v>70000</v>
      </c>
      <c r="M644" t="s">
        <v>19</v>
      </c>
      <c r="N644" t="s">
        <v>39</v>
      </c>
      <c r="O644">
        <v>1</v>
      </c>
    </row>
    <row r="645" spans="1:15" x14ac:dyDescent="0.3">
      <c r="A645" t="s">
        <v>690</v>
      </c>
      <c r="B645">
        <v>31</v>
      </c>
      <c r="C645" t="s">
        <v>23</v>
      </c>
      <c r="D645" t="s">
        <v>24</v>
      </c>
      <c r="E645" t="s">
        <v>36</v>
      </c>
      <c r="F645" t="s">
        <v>37</v>
      </c>
      <c r="G645">
        <v>4</v>
      </c>
      <c r="H645">
        <v>8</v>
      </c>
      <c r="I645" t="s">
        <v>27</v>
      </c>
      <c r="J645">
        <v>3.5</v>
      </c>
      <c r="K645" t="s">
        <v>48</v>
      </c>
      <c r="L645">
        <v>75000</v>
      </c>
      <c r="M645" t="s">
        <v>51</v>
      </c>
      <c r="N645" t="s">
        <v>21</v>
      </c>
      <c r="O645">
        <v>0</v>
      </c>
    </row>
    <row r="646" spans="1:15" x14ac:dyDescent="0.3">
      <c r="A646" t="s">
        <v>691</v>
      </c>
      <c r="B646">
        <v>29</v>
      </c>
      <c r="C646" t="s">
        <v>15</v>
      </c>
      <c r="D646" t="s">
        <v>16</v>
      </c>
      <c r="E646" t="s">
        <v>45</v>
      </c>
      <c r="F646" t="s">
        <v>32</v>
      </c>
      <c r="G646">
        <v>3</v>
      </c>
      <c r="H646">
        <v>7</v>
      </c>
      <c r="I646" t="s">
        <v>19</v>
      </c>
      <c r="J646">
        <v>3.4</v>
      </c>
      <c r="K646" t="s">
        <v>48</v>
      </c>
      <c r="L646">
        <v>59000</v>
      </c>
      <c r="M646" t="s">
        <v>29</v>
      </c>
      <c r="N646" t="s">
        <v>39</v>
      </c>
      <c r="O646">
        <v>1</v>
      </c>
    </row>
    <row r="647" spans="1:15" x14ac:dyDescent="0.3">
      <c r="A647" t="s">
        <v>692</v>
      </c>
      <c r="B647">
        <v>41</v>
      </c>
      <c r="C647" t="s">
        <v>35</v>
      </c>
      <c r="D647" t="s">
        <v>24</v>
      </c>
      <c r="E647" t="s">
        <v>17</v>
      </c>
      <c r="F647" t="s">
        <v>18</v>
      </c>
      <c r="G647">
        <v>12</v>
      </c>
      <c r="H647">
        <v>8</v>
      </c>
      <c r="I647" t="s">
        <v>27</v>
      </c>
      <c r="J647">
        <v>3.7</v>
      </c>
      <c r="K647" t="s">
        <v>19</v>
      </c>
      <c r="L647">
        <v>70000</v>
      </c>
      <c r="M647" t="s">
        <v>19</v>
      </c>
      <c r="N647" t="s">
        <v>21</v>
      </c>
      <c r="O647">
        <v>0</v>
      </c>
    </row>
    <row r="648" spans="1:15" x14ac:dyDescent="0.3">
      <c r="A648" t="s">
        <v>693</v>
      </c>
      <c r="B648">
        <v>34</v>
      </c>
      <c r="C648" t="s">
        <v>23</v>
      </c>
      <c r="D648" t="s">
        <v>16</v>
      </c>
      <c r="E648" t="s">
        <v>41</v>
      </c>
      <c r="F648" t="s">
        <v>42</v>
      </c>
      <c r="G648">
        <v>7</v>
      </c>
      <c r="H648">
        <v>9</v>
      </c>
      <c r="I648" t="s">
        <v>38</v>
      </c>
      <c r="J648">
        <v>4.0999999999999996</v>
      </c>
      <c r="K648" t="s">
        <v>28</v>
      </c>
      <c r="L648">
        <v>59000</v>
      </c>
      <c r="M648" t="s">
        <v>29</v>
      </c>
      <c r="N648" t="s">
        <v>39</v>
      </c>
      <c r="O648">
        <v>1</v>
      </c>
    </row>
    <row r="649" spans="1:15" x14ac:dyDescent="0.3">
      <c r="A649" t="s">
        <v>694</v>
      </c>
      <c r="B649">
        <v>27</v>
      </c>
      <c r="C649" t="s">
        <v>15</v>
      </c>
      <c r="D649" t="s">
        <v>24</v>
      </c>
      <c r="E649" t="s">
        <v>31</v>
      </c>
      <c r="F649" t="s">
        <v>42</v>
      </c>
      <c r="G649">
        <v>2</v>
      </c>
      <c r="H649">
        <v>6</v>
      </c>
      <c r="I649" t="s">
        <v>33</v>
      </c>
      <c r="J649">
        <v>3.8</v>
      </c>
      <c r="K649" t="s">
        <v>19</v>
      </c>
      <c r="L649">
        <v>73000</v>
      </c>
      <c r="M649" t="s">
        <v>51</v>
      </c>
      <c r="N649" t="s">
        <v>21</v>
      </c>
      <c r="O649">
        <v>0</v>
      </c>
    </row>
    <row r="650" spans="1:15" x14ac:dyDescent="0.3">
      <c r="A650" t="s">
        <v>695</v>
      </c>
      <c r="B650">
        <v>35</v>
      </c>
      <c r="C650" t="s">
        <v>23</v>
      </c>
      <c r="D650" t="s">
        <v>16</v>
      </c>
      <c r="E650" t="s">
        <v>25</v>
      </c>
      <c r="F650" t="s">
        <v>37</v>
      </c>
      <c r="G650">
        <v>8</v>
      </c>
      <c r="H650">
        <v>7</v>
      </c>
      <c r="I650" t="s">
        <v>19</v>
      </c>
      <c r="J650">
        <v>3.5</v>
      </c>
      <c r="K650" t="s">
        <v>48</v>
      </c>
      <c r="L650">
        <v>75000</v>
      </c>
      <c r="M650" t="s">
        <v>51</v>
      </c>
      <c r="N650" t="s">
        <v>39</v>
      </c>
      <c r="O650">
        <v>1</v>
      </c>
    </row>
    <row r="651" spans="1:15" x14ac:dyDescent="0.3">
      <c r="A651" t="s">
        <v>696</v>
      </c>
      <c r="B651">
        <v>33</v>
      </c>
      <c r="C651" t="s">
        <v>23</v>
      </c>
      <c r="D651" t="s">
        <v>24</v>
      </c>
      <c r="E651" t="s">
        <v>36</v>
      </c>
      <c r="F651" t="s">
        <v>37</v>
      </c>
      <c r="G651">
        <v>6</v>
      </c>
      <c r="H651">
        <v>9</v>
      </c>
      <c r="I651" t="s">
        <v>38</v>
      </c>
      <c r="J651">
        <v>3.4</v>
      </c>
      <c r="K651" t="s">
        <v>48</v>
      </c>
      <c r="L651">
        <v>59000</v>
      </c>
      <c r="M651" t="s">
        <v>29</v>
      </c>
      <c r="N651" t="s">
        <v>21</v>
      </c>
      <c r="O651">
        <v>0</v>
      </c>
    </row>
    <row r="652" spans="1:15" x14ac:dyDescent="0.3">
      <c r="A652" t="s">
        <v>697</v>
      </c>
      <c r="B652">
        <v>30</v>
      </c>
      <c r="C652" t="s">
        <v>15</v>
      </c>
      <c r="D652" t="s">
        <v>16</v>
      </c>
      <c r="E652" t="s">
        <v>45</v>
      </c>
      <c r="F652" t="s">
        <v>32</v>
      </c>
      <c r="G652">
        <v>4</v>
      </c>
      <c r="H652">
        <v>8</v>
      </c>
      <c r="I652" t="s">
        <v>27</v>
      </c>
      <c r="J652">
        <v>3.7</v>
      </c>
      <c r="K652" t="s">
        <v>19</v>
      </c>
      <c r="L652">
        <v>70000</v>
      </c>
      <c r="M652" t="s">
        <v>19</v>
      </c>
      <c r="N652" t="s">
        <v>39</v>
      </c>
      <c r="O652">
        <v>1</v>
      </c>
    </row>
    <row r="653" spans="1:15" x14ac:dyDescent="0.3">
      <c r="A653" t="s">
        <v>698</v>
      </c>
      <c r="B653">
        <v>29</v>
      </c>
      <c r="C653" t="s">
        <v>15</v>
      </c>
      <c r="D653" t="s">
        <v>24</v>
      </c>
      <c r="E653" t="s">
        <v>17</v>
      </c>
      <c r="F653" t="s">
        <v>18</v>
      </c>
      <c r="G653">
        <v>3</v>
      </c>
      <c r="H653">
        <v>6</v>
      </c>
      <c r="I653" t="s">
        <v>33</v>
      </c>
      <c r="J653">
        <v>3.2</v>
      </c>
      <c r="K653" t="s">
        <v>48</v>
      </c>
      <c r="L653">
        <v>58000</v>
      </c>
      <c r="M653" t="s">
        <v>29</v>
      </c>
      <c r="N653" t="s">
        <v>21</v>
      </c>
      <c r="O653">
        <v>0</v>
      </c>
    </row>
    <row r="654" spans="1:15" x14ac:dyDescent="0.3">
      <c r="A654" t="s">
        <v>699</v>
      </c>
      <c r="B654">
        <v>43</v>
      </c>
      <c r="C654" t="s">
        <v>35</v>
      </c>
      <c r="D654" t="s">
        <v>16</v>
      </c>
      <c r="E654" t="s">
        <v>41</v>
      </c>
      <c r="F654" t="s">
        <v>42</v>
      </c>
      <c r="G654">
        <v>13</v>
      </c>
      <c r="H654">
        <v>7</v>
      </c>
      <c r="I654" t="s">
        <v>19</v>
      </c>
      <c r="J654">
        <v>4</v>
      </c>
      <c r="K654" t="s">
        <v>19</v>
      </c>
      <c r="L654">
        <v>60000</v>
      </c>
      <c r="M654" t="s">
        <v>29</v>
      </c>
      <c r="N654" t="s">
        <v>39</v>
      </c>
      <c r="O654">
        <v>1</v>
      </c>
    </row>
    <row r="655" spans="1:15" x14ac:dyDescent="0.3">
      <c r="A655" t="s">
        <v>700</v>
      </c>
      <c r="B655">
        <v>32</v>
      </c>
      <c r="C655" t="s">
        <v>23</v>
      </c>
      <c r="D655" t="s">
        <v>24</v>
      </c>
      <c r="E655" t="s">
        <v>31</v>
      </c>
      <c r="F655" t="s">
        <v>42</v>
      </c>
      <c r="G655">
        <v>6</v>
      </c>
      <c r="H655">
        <v>8</v>
      </c>
      <c r="I655" t="s">
        <v>27</v>
      </c>
      <c r="J655">
        <v>3.9</v>
      </c>
      <c r="K655" t="s">
        <v>19</v>
      </c>
      <c r="L655">
        <v>70000</v>
      </c>
      <c r="M655" t="s">
        <v>19</v>
      </c>
      <c r="N655" t="s">
        <v>21</v>
      </c>
      <c r="O655">
        <v>0</v>
      </c>
    </row>
    <row r="656" spans="1:15" x14ac:dyDescent="0.3">
      <c r="A656" t="s">
        <v>701</v>
      </c>
      <c r="B656">
        <v>38</v>
      </c>
      <c r="C656" t="s">
        <v>44</v>
      </c>
      <c r="D656" t="s">
        <v>16</v>
      </c>
      <c r="E656" t="s">
        <v>25</v>
      </c>
      <c r="F656" t="s">
        <v>37</v>
      </c>
      <c r="G656">
        <v>9</v>
      </c>
      <c r="H656">
        <v>9</v>
      </c>
      <c r="I656" t="s">
        <v>38</v>
      </c>
      <c r="J656">
        <v>4.3</v>
      </c>
      <c r="K656" t="s">
        <v>28</v>
      </c>
      <c r="L656">
        <v>76000</v>
      </c>
      <c r="M656" t="s">
        <v>51</v>
      </c>
      <c r="N656" t="s">
        <v>39</v>
      </c>
      <c r="O656">
        <v>1</v>
      </c>
    </row>
    <row r="657" spans="1:15" x14ac:dyDescent="0.3">
      <c r="A657" t="s">
        <v>702</v>
      </c>
      <c r="B657">
        <v>28</v>
      </c>
      <c r="C657" t="s">
        <v>15</v>
      </c>
      <c r="D657" t="s">
        <v>24</v>
      </c>
      <c r="E657" t="s">
        <v>36</v>
      </c>
      <c r="F657" t="s">
        <v>37</v>
      </c>
      <c r="G657">
        <v>2</v>
      </c>
      <c r="H657">
        <v>7</v>
      </c>
      <c r="I657" t="s">
        <v>19</v>
      </c>
      <c r="J657">
        <v>3.5</v>
      </c>
      <c r="K657" t="s">
        <v>48</v>
      </c>
      <c r="L657">
        <v>58000</v>
      </c>
      <c r="M657" t="s">
        <v>29</v>
      </c>
      <c r="N657" t="s">
        <v>21</v>
      </c>
      <c r="O657">
        <v>0</v>
      </c>
    </row>
    <row r="658" spans="1:15" x14ac:dyDescent="0.3">
      <c r="A658" t="s">
        <v>703</v>
      </c>
      <c r="B658">
        <v>35</v>
      </c>
      <c r="C658" t="s">
        <v>23</v>
      </c>
      <c r="D658" t="s">
        <v>16</v>
      </c>
      <c r="E658" t="s">
        <v>45</v>
      </c>
      <c r="F658" t="s">
        <v>32</v>
      </c>
      <c r="G658">
        <v>7</v>
      </c>
      <c r="H658">
        <v>8</v>
      </c>
      <c r="I658" t="s">
        <v>27</v>
      </c>
      <c r="J658">
        <v>3.8</v>
      </c>
      <c r="K658" t="s">
        <v>19</v>
      </c>
      <c r="L658">
        <v>63000</v>
      </c>
      <c r="M658" t="s">
        <v>19</v>
      </c>
      <c r="N658" t="s">
        <v>39</v>
      </c>
      <c r="O658">
        <v>1</v>
      </c>
    </row>
    <row r="659" spans="1:15" x14ac:dyDescent="0.3">
      <c r="A659" t="s">
        <v>704</v>
      </c>
      <c r="B659">
        <v>37</v>
      </c>
      <c r="C659" t="s">
        <v>44</v>
      </c>
      <c r="D659" t="s">
        <v>24</v>
      </c>
      <c r="E659" t="s">
        <v>17</v>
      </c>
      <c r="F659" t="s">
        <v>18</v>
      </c>
      <c r="G659">
        <v>8</v>
      </c>
      <c r="H659">
        <v>9</v>
      </c>
      <c r="I659" t="s">
        <v>38</v>
      </c>
      <c r="J659">
        <v>4.0999999999999996</v>
      </c>
      <c r="K659" t="s">
        <v>28</v>
      </c>
      <c r="L659">
        <v>65000</v>
      </c>
      <c r="M659" t="s">
        <v>19</v>
      </c>
      <c r="N659" t="s">
        <v>21</v>
      </c>
      <c r="O659">
        <v>0</v>
      </c>
    </row>
    <row r="660" spans="1:15" x14ac:dyDescent="0.3">
      <c r="A660" t="s">
        <v>705</v>
      </c>
      <c r="B660">
        <v>29</v>
      </c>
      <c r="C660" t="s">
        <v>15</v>
      </c>
      <c r="D660" t="s">
        <v>16</v>
      </c>
      <c r="E660" t="s">
        <v>31</v>
      </c>
      <c r="F660" t="s">
        <v>42</v>
      </c>
      <c r="G660">
        <v>4</v>
      </c>
      <c r="H660">
        <v>6</v>
      </c>
      <c r="I660" t="s">
        <v>33</v>
      </c>
      <c r="J660">
        <v>3.7</v>
      </c>
      <c r="K660" t="s">
        <v>19</v>
      </c>
      <c r="L660">
        <v>62000</v>
      </c>
      <c r="M660" t="s">
        <v>19</v>
      </c>
      <c r="N660" t="s">
        <v>39</v>
      </c>
      <c r="O660">
        <v>1</v>
      </c>
    </row>
    <row r="661" spans="1:15" x14ac:dyDescent="0.3">
      <c r="A661" t="s">
        <v>706</v>
      </c>
      <c r="B661">
        <v>40</v>
      </c>
      <c r="C661" t="s">
        <v>44</v>
      </c>
      <c r="D661" t="s">
        <v>24</v>
      </c>
      <c r="E661" t="s">
        <v>36</v>
      </c>
      <c r="F661" t="s">
        <v>37</v>
      </c>
      <c r="G661">
        <v>11</v>
      </c>
      <c r="H661">
        <v>8</v>
      </c>
      <c r="I661" t="s">
        <v>27</v>
      </c>
      <c r="J661">
        <v>3.5</v>
      </c>
      <c r="K661" t="s">
        <v>48</v>
      </c>
      <c r="L661">
        <v>59000</v>
      </c>
      <c r="M661" t="s">
        <v>29</v>
      </c>
      <c r="N661" t="s">
        <v>21</v>
      </c>
      <c r="O661">
        <v>0</v>
      </c>
    </row>
    <row r="662" spans="1:15" x14ac:dyDescent="0.3">
      <c r="A662" t="s">
        <v>707</v>
      </c>
      <c r="B662">
        <v>45</v>
      </c>
      <c r="C662" t="s">
        <v>35</v>
      </c>
      <c r="D662" t="s">
        <v>16</v>
      </c>
      <c r="E662" t="s">
        <v>41</v>
      </c>
      <c r="F662" t="s">
        <v>42</v>
      </c>
      <c r="G662">
        <v>14</v>
      </c>
      <c r="H662">
        <v>7</v>
      </c>
      <c r="I662" t="s">
        <v>19</v>
      </c>
      <c r="J662">
        <v>3.8</v>
      </c>
      <c r="K662" t="s">
        <v>19</v>
      </c>
      <c r="L662">
        <v>62000</v>
      </c>
      <c r="M662" t="s">
        <v>19</v>
      </c>
      <c r="N662" t="s">
        <v>39</v>
      </c>
      <c r="O662">
        <v>1</v>
      </c>
    </row>
    <row r="663" spans="1:15" x14ac:dyDescent="0.3">
      <c r="A663" t="s">
        <v>708</v>
      </c>
      <c r="B663">
        <v>32</v>
      </c>
      <c r="C663" t="s">
        <v>23</v>
      </c>
      <c r="D663" t="s">
        <v>24</v>
      </c>
      <c r="E663" t="s">
        <v>25</v>
      </c>
      <c r="F663" t="s">
        <v>37</v>
      </c>
      <c r="G663">
        <v>5</v>
      </c>
      <c r="H663">
        <v>9</v>
      </c>
      <c r="I663" t="s">
        <v>38</v>
      </c>
      <c r="J663">
        <v>3.9</v>
      </c>
      <c r="K663" t="s">
        <v>19</v>
      </c>
      <c r="L663">
        <v>67000</v>
      </c>
      <c r="M663" t="s">
        <v>19</v>
      </c>
      <c r="N663" t="s">
        <v>21</v>
      </c>
      <c r="O663">
        <v>0</v>
      </c>
    </row>
    <row r="664" spans="1:15" x14ac:dyDescent="0.3">
      <c r="A664" t="s">
        <v>709</v>
      </c>
      <c r="B664">
        <v>34</v>
      </c>
      <c r="C664" t="s">
        <v>23</v>
      </c>
      <c r="D664" t="s">
        <v>16</v>
      </c>
      <c r="E664" t="s">
        <v>17</v>
      </c>
      <c r="F664" t="s">
        <v>18</v>
      </c>
      <c r="G664">
        <v>6</v>
      </c>
      <c r="H664">
        <v>7</v>
      </c>
      <c r="I664" t="s">
        <v>19</v>
      </c>
      <c r="J664">
        <v>3.5</v>
      </c>
      <c r="K664" t="s">
        <v>48</v>
      </c>
      <c r="L664">
        <v>60000</v>
      </c>
      <c r="M664" t="s">
        <v>29</v>
      </c>
      <c r="N664" t="s">
        <v>39</v>
      </c>
      <c r="O664">
        <v>1</v>
      </c>
    </row>
    <row r="665" spans="1:15" x14ac:dyDescent="0.3">
      <c r="A665" t="s">
        <v>710</v>
      </c>
      <c r="B665">
        <v>36</v>
      </c>
      <c r="C665" t="s">
        <v>44</v>
      </c>
      <c r="D665" t="s">
        <v>24</v>
      </c>
      <c r="E665" t="s">
        <v>45</v>
      </c>
      <c r="F665" t="s">
        <v>32</v>
      </c>
      <c r="G665">
        <v>7</v>
      </c>
      <c r="H665">
        <v>8</v>
      </c>
      <c r="I665" t="s">
        <v>27</v>
      </c>
      <c r="J665">
        <v>3.6</v>
      </c>
      <c r="K665" t="s">
        <v>19</v>
      </c>
      <c r="L665">
        <v>61000</v>
      </c>
      <c r="M665" t="s">
        <v>19</v>
      </c>
      <c r="N665" t="s">
        <v>21</v>
      </c>
      <c r="O665">
        <v>0</v>
      </c>
    </row>
    <row r="666" spans="1:15" x14ac:dyDescent="0.3">
      <c r="A666" t="s">
        <v>711</v>
      </c>
      <c r="B666">
        <v>30</v>
      </c>
      <c r="C666" t="s">
        <v>15</v>
      </c>
      <c r="D666" t="s">
        <v>16</v>
      </c>
      <c r="E666" t="s">
        <v>36</v>
      </c>
      <c r="F666" t="s">
        <v>37</v>
      </c>
      <c r="G666">
        <v>4</v>
      </c>
      <c r="H666">
        <v>9</v>
      </c>
      <c r="I666" t="s">
        <v>38</v>
      </c>
      <c r="J666">
        <v>3.8</v>
      </c>
      <c r="K666" t="s">
        <v>19</v>
      </c>
      <c r="L666">
        <v>63000</v>
      </c>
      <c r="M666" t="s">
        <v>19</v>
      </c>
      <c r="N666" t="s">
        <v>39</v>
      </c>
      <c r="O666">
        <v>1</v>
      </c>
    </row>
    <row r="667" spans="1:15" x14ac:dyDescent="0.3">
      <c r="A667" t="s">
        <v>712</v>
      </c>
      <c r="B667">
        <v>31</v>
      </c>
      <c r="C667" t="s">
        <v>23</v>
      </c>
      <c r="D667" t="s">
        <v>24</v>
      </c>
      <c r="E667" t="s">
        <v>31</v>
      </c>
      <c r="F667" t="s">
        <v>42</v>
      </c>
      <c r="G667">
        <v>5</v>
      </c>
      <c r="H667">
        <v>7</v>
      </c>
      <c r="I667" t="s">
        <v>19</v>
      </c>
      <c r="J667">
        <v>3.9</v>
      </c>
      <c r="K667" t="s">
        <v>19</v>
      </c>
      <c r="L667">
        <v>67000</v>
      </c>
      <c r="M667" t="s">
        <v>19</v>
      </c>
      <c r="N667" t="s">
        <v>21</v>
      </c>
      <c r="O667">
        <v>0</v>
      </c>
    </row>
    <row r="668" spans="1:15" x14ac:dyDescent="0.3">
      <c r="A668" t="s">
        <v>713</v>
      </c>
      <c r="B668">
        <v>29</v>
      </c>
      <c r="C668" t="s">
        <v>15</v>
      </c>
      <c r="D668" t="s">
        <v>16</v>
      </c>
      <c r="E668" t="s">
        <v>25</v>
      </c>
      <c r="F668" t="s">
        <v>37</v>
      </c>
      <c r="G668">
        <v>3</v>
      </c>
      <c r="H668">
        <v>9</v>
      </c>
      <c r="I668" t="s">
        <v>38</v>
      </c>
      <c r="J668">
        <v>3.5</v>
      </c>
      <c r="K668" t="s">
        <v>48</v>
      </c>
      <c r="L668">
        <v>60000</v>
      </c>
      <c r="M668" t="s">
        <v>29</v>
      </c>
      <c r="N668" t="s">
        <v>39</v>
      </c>
      <c r="O668">
        <v>1</v>
      </c>
    </row>
    <row r="669" spans="1:15" x14ac:dyDescent="0.3">
      <c r="A669" t="s">
        <v>714</v>
      </c>
      <c r="B669">
        <v>33</v>
      </c>
      <c r="C669" t="s">
        <v>23</v>
      </c>
      <c r="D669" t="s">
        <v>24</v>
      </c>
      <c r="E669" t="s">
        <v>41</v>
      </c>
      <c r="F669" t="s">
        <v>42</v>
      </c>
      <c r="G669">
        <v>6</v>
      </c>
      <c r="H669">
        <v>7</v>
      </c>
      <c r="I669" t="s">
        <v>19</v>
      </c>
      <c r="J669">
        <v>3.6</v>
      </c>
      <c r="K669" t="s">
        <v>19</v>
      </c>
      <c r="L669">
        <v>61000</v>
      </c>
      <c r="M669" t="s">
        <v>19</v>
      </c>
      <c r="N669" t="s">
        <v>21</v>
      </c>
      <c r="O669">
        <v>0</v>
      </c>
    </row>
    <row r="670" spans="1:15" x14ac:dyDescent="0.3">
      <c r="A670" t="s">
        <v>715</v>
      </c>
      <c r="B670">
        <v>35</v>
      </c>
      <c r="C670" t="s">
        <v>23</v>
      </c>
      <c r="D670" t="s">
        <v>16</v>
      </c>
      <c r="E670" t="s">
        <v>45</v>
      </c>
      <c r="F670" t="s">
        <v>32</v>
      </c>
      <c r="G670">
        <v>7</v>
      </c>
      <c r="H670">
        <v>8</v>
      </c>
      <c r="I670" t="s">
        <v>27</v>
      </c>
      <c r="J670">
        <v>3.8</v>
      </c>
      <c r="K670" t="s">
        <v>19</v>
      </c>
      <c r="L670">
        <v>63000</v>
      </c>
      <c r="M670" t="s">
        <v>19</v>
      </c>
      <c r="N670" t="s">
        <v>39</v>
      </c>
      <c r="O670">
        <v>1</v>
      </c>
    </row>
    <row r="671" spans="1:15" x14ac:dyDescent="0.3">
      <c r="A671" t="s">
        <v>716</v>
      </c>
      <c r="B671">
        <v>27</v>
      </c>
      <c r="C671" t="s">
        <v>15</v>
      </c>
      <c r="D671" t="s">
        <v>24</v>
      </c>
      <c r="E671" t="s">
        <v>17</v>
      </c>
      <c r="F671" t="s">
        <v>18</v>
      </c>
      <c r="G671">
        <v>2</v>
      </c>
      <c r="H671">
        <v>6</v>
      </c>
      <c r="I671" t="s">
        <v>33</v>
      </c>
      <c r="J671">
        <v>3.7</v>
      </c>
      <c r="K671" t="s">
        <v>19</v>
      </c>
      <c r="L671">
        <v>66000</v>
      </c>
      <c r="M671" t="s">
        <v>19</v>
      </c>
      <c r="N671" t="s">
        <v>21</v>
      </c>
      <c r="O671">
        <v>0</v>
      </c>
    </row>
    <row r="672" spans="1:15" x14ac:dyDescent="0.3">
      <c r="A672" t="s">
        <v>717</v>
      </c>
      <c r="B672">
        <v>32</v>
      </c>
      <c r="C672" t="s">
        <v>23</v>
      </c>
      <c r="D672" t="s">
        <v>16</v>
      </c>
      <c r="E672" t="s">
        <v>25</v>
      </c>
      <c r="F672" t="s">
        <v>37</v>
      </c>
      <c r="G672">
        <v>5</v>
      </c>
      <c r="H672">
        <v>9</v>
      </c>
      <c r="I672" t="s">
        <v>38</v>
      </c>
      <c r="J672">
        <v>3.6</v>
      </c>
      <c r="K672" t="s">
        <v>19</v>
      </c>
      <c r="L672">
        <v>62000</v>
      </c>
      <c r="M672" t="s">
        <v>19</v>
      </c>
      <c r="N672" t="s">
        <v>21</v>
      </c>
      <c r="O672">
        <v>0</v>
      </c>
    </row>
    <row r="673" spans="1:15" x14ac:dyDescent="0.3">
      <c r="A673" t="s">
        <v>718</v>
      </c>
      <c r="B673">
        <v>36</v>
      </c>
      <c r="C673" t="s">
        <v>44</v>
      </c>
      <c r="D673" t="s">
        <v>24</v>
      </c>
      <c r="E673" t="s">
        <v>36</v>
      </c>
      <c r="F673" t="s">
        <v>37</v>
      </c>
      <c r="G673">
        <v>7</v>
      </c>
      <c r="H673">
        <v>8</v>
      </c>
      <c r="I673" t="s">
        <v>27</v>
      </c>
      <c r="J673">
        <v>3.8</v>
      </c>
      <c r="K673" t="s">
        <v>19</v>
      </c>
      <c r="L673">
        <v>63000</v>
      </c>
      <c r="M673" t="s">
        <v>19</v>
      </c>
      <c r="N673" t="s">
        <v>21</v>
      </c>
      <c r="O673">
        <v>0</v>
      </c>
    </row>
    <row r="674" spans="1:15" x14ac:dyDescent="0.3">
      <c r="A674" t="s">
        <v>719</v>
      </c>
      <c r="B674">
        <v>33</v>
      </c>
      <c r="C674" t="s">
        <v>23</v>
      </c>
      <c r="D674" t="s">
        <v>16</v>
      </c>
      <c r="E674" t="s">
        <v>17</v>
      </c>
      <c r="F674" t="s">
        <v>18</v>
      </c>
      <c r="G674">
        <v>6</v>
      </c>
      <c r="H674">
        <v>7</v>
      </c>
      <c r="I674" t="s">
        <v>19</v>
      </c>
      <c r="J674">
        <v>3.5</v>
      </c>
      <c r="K674" t="s">
        <v>48</v>
      </c>
      <c r="L674">
        <v>64000</v>
      </c>
      <c r="M674" t="s">
        <v>19</v>
      </c>
      <c r="N674" t="s">
        <v>21</v>
      </c>
      <c r="O674">
        <v>0</v>
      </c>
    </row>
    <row r="675" spans="1:15" x14ac:dyDescent="0.3">
      <c r="A675" t="s">
        <v>720</v>
      </c>
      <c r="B675">
        <v>29</v>
      </c>
      <c r="C675" t="s">
        <v>15</v>
      </c>
      <c r="D675" t="s">
        <v>24</v>
      </c>
      <c r="E675" t="s">
        <v>31</v>
      </c>
      <c r="F675" t="s">
        <v>42</v>
      </c>
      <c r="G675">
        <v>4</v>
      </c>
      <c r="H675">
        <v>9</v>
      </c>
      <c r="I675" t="s">
        <v>38</v>
      </c>
      <c r="J675">
        <v>3.9</v>
      </c>
      <c r="K675" t="s">
        <v>19</v>
      </c>
      <c r="L675">
        <v>68000</v>
      </c>
      <c r="M675" t="s">
        <v>19</v>
      </c>
      <c r="N675" t="s">
        <v>21</v>
      </c>
      <c r="O675">
        <v>0</v>
      </c>
    </row>
    <row r="676" spans="1:15" x14ac:dyDescent="0.3">
      <c r="A676" t="s">
        <v>721</v>
      </c>
      <c r="B676">
        <v>40</v>
      </c>
      <c r="C676" t="s">
        <v>44</v>
      </c>
      <c r="D676" t="s">
        <v>16</v>
      </c>
      <c r="E676" t="s">
        <v>41</v>
      </c>
      <c r="F676" t="s">
        <v>42</v>
      </c>
      <c r="G676">
        <v>11</v>
      </c>
      <c r="H676">
        <v>7</v>
      </c>
      <c r="I676" t="s">
        <v>19</v>
      </c>
      <c r="J676">
        <v>3.7</v>
      </c>
      <c r="K676" t="s">
        <v>19</v>
      </c>
      <c r="L676">
        <v>59000</v>
      </c>
      <c r="M676" t="s">
        <v>29</v>
      </c>
      <c r="N676" t="s">
        <v>21</v>
      </c>
      <c r="O676">
        <v>0</v>
      </c>
    </row>
    <row r="677" spans="1:15" x14ac:dyDescent="0.3">
      <c r="A677" t="s">
        <v>722</v>
      </c>
      <c r="B677">
        <v>45</v>
      </c>
      <c r="C677" t="s">
        <v>35</v>
      </c>
      <c r="D677" t="s">
        <v>24</v>
      </c>
      <c r="E677" t="s">
        <v>45</v>
      </c>
      <c r="F677" t="s">
        <v>32</v>
      </c>
      <c r="G677">
        <v>14</v>
      </c>
      <c r="H677">
        <v>6</v>
      </c>
      <c r="I677" t="s">
        <v>33</v>
      </c>
      <c r="J677">
        <v>4</v>
      </c>
      <c r="K677" t="s">
        <v>19</v>
      </c>
      <c r="L677">
        <v>70000</v>
      </c>
      <c r="M677" t="s">
        <v>19</v>
      </c>
      <c r="N677" t="s">
        <v>21</v>
      </c>
      <c r="O677">
        <v>0</v>
      </c>
    </row>
    <row r="678" spans="1:15" x14ac:dyDescent="0.3">
      <c r="A678" t="s">
        <v>723</v>
      </c>
      <c r="B678">
        <v>32</v>
      </c>
      <c r="C678" t="s">
        <v>23</v>
      </c>
      <c r="D678" t="s">
        <v>16</v>
      </c>
      <c r="E678" t="s">
        <v>25</v>
      </c>
      <c r="F678" t="s">
        <v>37</v>
      </c>
      <c r="G678">
        <v>6</v>
      </c>
      <c r="H678">
        <v>8</v>
      </c>
      <c r="I678" t="s">
        <v>27</v>
      </c>
      <c r="J678">
        <v>3.9</v>
      </c>
      <c r="K678" t="s">
        <v>19</v>
      </c>
      <c r="L678">
        <v>67000</v>
      </c>
      <c r="M678" t="s">
        <v>19</v>
      </c>
      <c r="N678" t="s">
        <v>21</v>
      </c>
      <c r="O678">
        <v>0</v>
      </c>
    </row>
    <row r="679" spans="1:15" x14ac:dyDescent="0.3">
      <c r="A679" t="s">
        <v>724</v>
      </c>
      <c r="B679">
        <v>34</v>
      </c>
      <c r="C679" t="s">
        <v>23</v>
      </c>
      <c r="D679" t="s">
        <v>24</v>
      </c>
      <c r="E679" t="s">
        <v>36</v>
      </c>
      <c r="F679" t="s">
        <v>37</v>
      </c>
      <c r="G679">
        <v>7</v>
      </c>
      <c r="H679">
        <v>9</v>
      </c>
      <c r="I679" t="s">
        <v>38</v>
      </c>
      <c r="J679">
        <v>3.5</v>
      </c>
      <c r="K679" t="s">
        <v>48</v>
      </c>
      <c r="L679">
        <v>65000</v>
      </c>
      <c r="M679" t="s">
        <v>19</v>
      </c>
      <c r="N679" t="s">
        <v>21</v>
      </c>
      <c r="O679">
        <v>0</v>
      </c>
    </row>
    <row r="680" spans="1:15" x14ac:dyDescent="0.3">
      <c r="A680" t="s">
        <v>725</v>
      </c>
      <c r="B680">
        <v>31</v>
      </c>
      <c r="C680" t="s">
        <v>23</v>
      </c>
      <c r="D680" t="s">
        <v>16</v>
      </c>
      <c r="E680" t="s">
        <v>17</v>
      </c>
      <c r="F680" t="s">
        <v>18</v>
      </c>
      <c r="G680">
        <v>5</v>
      </c>
      <c r="H680">
        <v>7</v>
      </c>
      <c r="I680" t="s">
        <v>19</v>
      </c>
      <c r="J680">
        <v>3.2</v>
      </c>
      <c r="K680" t="s">
        <v>48</v>
      </c>
      <c r="L680">
        <v>63000</v>
      </c>
      <c r="M680" t="s">
        <v>19</v>
      </c>
      <c r="N680" t="s">
        <v>21</v>
      </c>
      <c r="O680">
        <v>0</v>
      </c>
    </row>
    <row r="681" spans="1:15" x14ac:dyDescent="0.3">
      <c r="A681" t="s">
        <v>726</v>
      </c>
      <c r="B681">
        <v>37</v>
      </c>
      <c r="C681" t="s">
        <v>44</v>
      </c>
      <c r="D681" t="s">
        <v>24</v>
      </c>
      <c r="E681" t="s">
        <v>31</v>
      </c>
      <c r="F681" t="s">
        <v>42</v>
      </c>
      <c r="G681">
        <v>6</v>
      </c>
      <c r="H681">
        <v>8</v>
      </c>
      <c r="I681" t="s">
        <v>27</v>
      </c>
      <c r="J681">
        <v>3.7</v>
      </c>
      <c r="K681" t="s">
        <v>19</v>
      </c>
      <c r="L681">
        <v>67000</v>
      </c>
      <c r="M681" t="s">
        <v>19</v>
      </c>
      <c r="N681" t="s">
        <v>21</v>
      </c>
      <c r="O681">
        <v>0</v>
      </c>
    </row>
    <row r="682" spans="1:15" x14ac:dyDescent="0.3">
      <c r="A682" t="s">
        <v>727</v>
      </c>
      <c r="B682">
        <v>28</v>
      </c>
      <c r="C682" t="s">
        <v>15</v>
      </c>
      <c r="D682" t="s">
        <v>16</v>
      </c>
      <c r="E682" t="s">
        <v>41</v>
      </c>
      <c r="F682" t="s">
        <v>42</v>
      </c>
      <c r="G682">
        <v>2</v>
      </c>
      <c r="H682">
        <v>9</v>
      </c>
      <c r="I682" t="s">
        <v>38</v>
      </c>
      <c r="J682">
        <v>3.4</v>
      </c>
      <c r="K682" t="s">
        <v>48</v>
      </c>
      <c r="L682">
        <v>59000</v>
      </c>
      <c r="M682" t="s">
        <v>29</v>
      </c>
      <c r="N682" t="s">
        <v>21</v>
      </c>
      <c r="O682">
        <v>0</v>
      </c>
    </row>
    <row r="683" spans="1:15" x14ac:dyDescent="0.3">
      <c r="A683" t="s">
        <v>728</v>
      </c>
      <c r="B683">
        <v>35</v>
      </c>
      <c r="C683" t="s">
        <v>23</v>
      </c>
      <c r="D683" t="s">
        <v>24</v>
      </c>
      <c r="E683" t="s">
        <v>45</v>
      </c>
      <c r="F683" t="s">
        <v>32</v>
      </c>
      <c r="G683">
        <v>8</v>
      </c>
      <c r="H683">
        <v>7</v>
      </c>
      <c r="I683" t="s">
        <v>19</v>
      </c>
      <c r="J683">
        <v>3.5</v>
      </c>
      <c r="K683" t="s">
        <v>48</v>
      </c>
      <c r="L683">
        <v>60000</v>
      </c>
      <c r="M683" t="s">
        <v>29</v>
      </c>
      <c r="N683" t="s">
        <v>21</v>
      </c>
      <c r="O683">
        <v>0</v>
      </c>
    </row>
    <row r="684" spans="1:15" x14ac:dyDescent="0.3">
      <c r="A684" t="s">
        <v>729</v>
      </c>
      <c r="B684">
        <v>33</v>
      </c>
      <c r="C684" t="s">
        <v>23</v>
      </c>
      <c r="D684" t="s">
        <v>16</v>
      </c>
      <c r="E684" t="s">
        <v>25</v>
      </c>
      <c r="F684" t="s">
        <v>37</v>
      </c>
      <c r="G684">
        <v>6</v>
      </c>
      <c r="H684">
        <v>8</v>
      </c>
      <c r="I684" t="s">
        <v>27</v>
      </c>
      <c r="J684">
        <v>4.2</v>
      </c>
      <c r="K684" t="s">
        <v>28</v>
      </c>
      <c r="L684">
        <v>75000</v>
      </c>
      <c r="M684" t="s">
        <v>51</v>
      </c>
      <c r="N684" t="s">
        <v>21</v>
      </c>
      <c r="O684">
        <v>0</v>
      </c>
    </row>
    <row r="685" spans="1:15" x14ac:dyDescent="0.3">
      <c r="A685" t="s">
        <v>730</v>
      </c>
      <c r="B685">
        <v>30</v>
      </c>
      <c r="C685" t="s">
        <v>15</v>
      </c>
      <c r="D685" t="s">
        <v>24</v>
      </c>
      <c r="E685" t="s">
        <v>36</v>
      </c>
      <c r="F685" t="s">
        <v>37</v>
      </c>
      <c r="G685">
        <v>5</v>
      </c>
      <c r="H685">
        <v>9</v>
      </c>
      <c r="I685" t="s">
        <v>38</v>
      </c>
      <c r="J685">
        <v>3.8</v>
      </c>
      <c r="K685" t="s">
        <v>19</v>
      </c>
      <c r="L685">
        <v>68000</v>
      </c>
      <c r="M685" t="s">
        <v>19</v>
      </c>
      <c r="N685" t="s">
        <v>21</v>
      </c>
      <c r="O685">
        <v>0</v>
      </c>
    </row>
    <row r="686" spans="1:15" x14ac:dyDescent="0.3">
      <c r="A686" t="s">
        <v>731</v>
      </c>
      <c r="B686">
        <v>29</v>
      </c>
      <c r="C686" t="s">
        <v>15</v>
      </c>
      <c r="D686" t="s">
        <v>16</v>
      </c>
      <c r="E686" t="s">
        <v>17</v>
      </c>
      <c r="F686" t="s">
        <v>18</v>
      </c>
      <c r="G686">
        <v>3</v>
      </c>
      <c r="H686">
        <v>7</v>
      </c>
      <c r="I686" t="s">
        <v>19</v>
      </c>
      <c r="J686">
        <v>3.4</v>
      </c>
      <c r="K686" t="s">
        <v>48</v>
      </c>
      <c r="L686">
        <v>61000</v>
      </c>
      <c r="M686" t="s">
        <v>19</v>
      </c>
      <c r="N686" t="s">
        <v>21</v>
      </c>
      <c r="O686">
        <v>0</v>
      </c>
    </row>
    <row r="687" spans="1:15" x14ac:dyDescent="0.3">
      <c r="A687" t="s">
        <v>732</v>
      </c>
      <c r="B687">
        <v>41</v>
      </c>
      <c r="C687" t="s">
        <v>35</v>
      </c>
      <c r="D687" t="s">
        <v>24</v>
      </c>
      <c r="E687" t="s">
        <v>31</v>
      </c>
      <c r="F687" t="s">
        <v>42</v>
      </c>
      <c r="G687">
        <v>10</v>
      </c>
      <c r="H687">
        <v>6</v>
      </c>
      <c r="I687" t="s">
        <v>33</v>
      </c>
      <c r="J687">
        <v>3.7</v>
      </c>
      <c r="K687" t="s">
        <v>19</v>
      </c>
      <c r="L687">
        <v>63000</v>
      </c>
      <c r="M687" t="s">
        <v>19</v>
      </c>
      <c r="N687" t="s">
        <v>21</v>
      </c>
      <c r="O687">
        <v>0</v>
      </c>
    </row>
    <row r="688" spans="1:15" x14ac:dyDescent="0.3">
      <c r="A688" t="s">
        <v>733</v>
      </c>
      <c r="B688">
        <v>34</v>
      </c>
      <c r="C688" t="s">
        <v>23</v>
      </c>
      <c r="D688" t="s">
        <v>16</v>
      </c>
      <c r="E688" t="s">
        <v>41</v>
      </c>
      <c r="F688" t="s">
        <v>42</v>
      </c>
      <c r="G688">
        <v>7</v>
      </c>
      <c r="H688">
        <v>9</v>
      </c>
      <c r="I688" t="s">
        <v>38</v>
      </c>
      <c r="J688">
        <v>4.0999999999999996</v>
      </c>
      <c r="K688" t="s">
        <v>28</v>
      </c>
      <c r="L688">
        <v>67000</v>
      </c>
      <c r="M688" t="s">
        <v>19</v>
      </c>
      <c r="N688" t="s">
        <v>21</v>
      </c>
      <c r="O688">
        <v>0</v>
      </c>
    </row>
    <row r="689" spans="1:15" x14ac:dyDescent="0.3">
      <c r="A689" t="s">
        <v>734</v>
      </c>
      <c r="B689">
        <v>27</v>
      </c>
      <c r="C689" t="s">
        <v>15</v>
      </c>
      <c r="D689" t="s">
        <v>24</v>
      </c>
      <c r="E689" t="s">
        <v>45</v>
      </c>
      <c r="F689" t="s">
        <v>32</v>
      </c>
      <c r="G689">
        <v>2</v>
      </c>
      <c r="H689">
        <v>8</v>
      </c>
      <c r="I689" t="s">
        <v>27</v>
      </c>
      <c r="J689">
        <v>3.6</v>
      </c>
      <c r="K689" t="s">
        <v>19</v>
      </c>
      <c r="L689">
        <v>64000</v>
      </c>
      <c r="M689" t="s">
        <v>19</v>
      </c>
      <c r="N689" t="s">
        <v>21</v>
      </c>
      <c r="O689">
        <v>0</v>
      </c>
    </row>
    <row r="690" spans="1:15" x14ac:dyDescent="0.3">
      <c r="A690" t="s">
        <v>735</v>
      </c>
      <c r="B690">
        <v>35</v>
      </c>
      <c r="C690" t="s">
        <v>23</v>
      </c>
      <c r="D690" t="s">
        <v>16</v>
      </c>
      <c r="E690" t="s">
        <v>25</v>
      </c>
      <c r="F690" t="s">
        <v>37</v>
      </c>
      <c r="G690">
        <v>6</v>
      </c>
      <c r="H690">
        <v>9</v>
      </c>
      <c r="I690" t="s">
        <v>38</v>
      </c>
      <c r="J690">
        <v>3.9</v>
      </c>
      <c r="K690" t="s">
        <v>19</v>
      </c>
      <c r="L690">
        <v>69000</v>
      </c>
      <c r="M690" t="s">
        <v>19</v>
      </c>
      <c r="N690" t="s">
        <v>21</v>
      </c>
      <c r="O690">
        <v>0</v>
      </c>
    </row>
    <row r="691" spans="1:15" x14ac:dyDescent="0.3">
      <c r="A691" t="s">
        <v>736</v>
      </c>
      <c r="B691">
        <v>33</v>
      </c>
      <c r="C691" t="s">
        <v>23</v>
      </c>
      <c r="D691" t="s">
        <v>24</v>
      </c>
      <c r="E691" t="s">
        <v>36</v>
      </c>
      <c r="F691" t="s">
        <v>37</v>
      </c>
      <c r="G691">
        <v>5</v>
      </c>
      <c r="H691">
        <v>7</v>
      </c>
      <c r="I691" t="s">
        <v>19</v>
      </c>
      <c r="J691">
        <v>3.5</v>
      </c>
      <c r="K691" t="s">
        <v>48</v>
      </c>
      <c r="L691">
        <v>62000</v>
      </c>
      <c r="M691" t="s">
        <v>19</v>
      </c>
      <c r="N691" t="s">
        <v>21</v>
      </c>
      <c r="O691">
        <v>0</v>
      </c>
    </row>
    <row r="692" spans="1:15" x14ac:dyDescent="0.3">
      <c r="A692" t="s">
        <v>737</v>
      </c>
      <c r="B692">
        <v>30</v>
      </c>
      <c r="C692" t="s">
        <v>15</v>
      </c>
      <c r="D692" t="s">
        <v>16</v>
      </c>
      <c r="E692" t="s">
        <v>17</v>
      </c>
      <c r="F692" t="s">
        <v>18</v>
      </c>
      <c r="G692">
        <v>4</v>
      </c>
      <c r="H692">
        <v>8</v>
      </c>
      <c r="I692" t="s">
        <v>27</v>
      </c>
      <c r="J692">
        <v>3.8</v>
      </c>
      <c r="K692" t="s">
        <v>19</v>
      </c>
      <c r="L692">
        <v>67000</v>
      </c>
      <c r="M692" t="s">
        <v>19</v>
      </c>
      <c r="N692" t="s">
        <v>21</v>
      </c>
      <c r="O692">
        <v>0</v>
      </c>
    </row>
    <row r="693" spans="1:15" x14ac:dyDescent="0.3">
      <c r="A693" t="s">
        <v>738</v>
      </c>
      <c r="B693">
        <v>45</v>
      </c>
      <c r="C693" t="s">
        <v>35</v>
      </c>
      <c r="D693" t="s">
        <v>24</v>
      </c>
      <c r="E693" t="s">
        <v>31</v>
      </c>
      <c r="F693" t="s">
        <v>42</v>
      </c>
      <c r="G693">
        <v>15</v>
      </c>
      <c r="H693">
        <v>9</v>
      </c>
      <c r="I693" t="s">
        <v>38</v>
      </c>
      <c r="J693">
        <v>3.4</v>
      </c>
      <c r="K693" t="s">
        <v>48</v>
      </c>
      <c r="L693">
        <v>60000</v>
      </c>
      <c r="M693" t="s">
        <v>29</v>
      </c>
      <c r="N693" t="s">
        <v>21</v>
      </c>
      <c r="O693">
        <v>0</v>
      </c>
    </row>
    <row r="694" spans="1:15" x14ac:dyDescent="0.3">
      <c r="A694" t="s">
        <v>739</v>
      </c>
      <c r="B694">
        <v>32</v>
      </c>
      <c r="C694" t="s">
        <v>23</v>
      </c>
      <c r="D694" t="s">
        <v>16</v>
      </c>
      <c r="E694" t="s">
        <v>41</v>
      </c>
      <c r="F694" t="s">
        <v>42</v>
      </c>
      <c r="G694">
        <v>6</v>
      </c>
      <c r="H694">
        <v>7</v>
      </c>
      <c r="I694" t="s">
        <v>19</v>
      </c>
      <c r="J694">
        <v>3.7</v>
      </c>
      <c r="K694" t="s">
        <v>19</v>
      </c>
      <c r="L694">
        <v>65000</v>
      </c>
      <c r="M694" t="s">
        <v>19</v>
      </c>
      <c r="N694" t="s">
        <v>21</v>
      </c>
      <c r="O694">
        <v>0</v>
      </c>
    </row>
    <row r="695" spans="1:15" x14ac:dyDescent="0.3">
      <c r="A695" t="s">
        <v>740</v>
      </c>
      <c r="B695">
        <v>29</v>
      </c>
      <c r="C695" t="s">
        <v>15</v>
      </c>
      <c r="D695" t="s">
        <v>24</v>
      </c>
      <c r="E695" t="s">
        <v>45</v>
      </c>
      <c r="F695" t="s">
        <v>32</v>
      </c>
      <c r="G695">
        <v>4</v>
      </c>
      <c r="H695">
        <v>9</v>
      </c>
      <c r="I695" t="s">
        <v>38</v>
      </c>
      <c r="J695">
        <v>4</v>
      </c>
      <c r="K695" t="s">
        <v>19</v>
      </c>
      <c r="L695">
        <v>70000</v>
      </c>
      <c r="M695" t="s">
        <v>19</v>
      </c>
      <c r="N695" t="s">
        <v>21</v>
      </c>
      <c r="O695">
        <v>0</v>
      </c>
    </row>
    <row r="696" spans="1:15" x14ac:dyDescent="0.3">
      <c r="A696" t="s">
        <v>741</v>
      </c>
      <c r="B696">
        <v>39</v>
      </c>
      <c r="C696" t="s">
        <v>44</v>
      </c>
      <c r="D696" t="s">
        <v>16</v>
      </c>
      <c r="E696" t="s">
        <v>25</v>
      </c>
      <c r="F696" t="s">
        <v>37</v>
      </c>
      <c r="G696">
        <v>8</v>
      </c>
      <c r="H696">
        <v>6</v>
      </c>
      <c r="I696" t="s">
        <v>33</v>
      </c>
      <c r="J696">
        <v>3.9</v>
      </c>
      <c r="K696" t="s">
        <v>19</v>
      </c>
      <c r="L696">
        <v>69000</v>
      </c>
      <c r="M696" t="s">
        <v>19</v>
      </c>
      <c r="N696" t="s">
        <v>21</v>
      </c>
      <c r="O696">
        <v>0</v>
      </c>
    </row>
    <row r="697" spans="1:15" x14ac:dyDescent="0.3">
      <c r="A697" t="s">
        <v>742</v>
      </c>
      <c r="B697">
        <v>36</v>
      </c>
      <c r="C697" t="s">
        <v>44</v>
      </c>
      <c r="D697" t="s">
        <v>24</v>
      </c>
      <c r="E697" t="s">
        <v>36</v>
      </c>
      <c r="F697" t="s">
        <v>37</v>
      </c>
      <c r="G697">
        <v>7</v>
      </c>
      <c r="H697">
        <v>8</v>
      </c>
      <c r="I697" t="s">
        <v>27</v>
      </c>
      <c r="J697">
        <v>3.5</v>
      </c>
      <c r="K697" t="s">
        <v>48</v>
      </c>
      <c r="L697">
        <v>63000</v>
      </c>
      <c r="M697" t="s">
        <v>19</v>
      </c>
      <c r="N697" t="s">
        <v>21</v>
      </c>
      <c r="O697">
        <v>0</v>
      </c>
    </row>
    <row r="698" spans="1:15" x14ac:dyDescent="0.3">
      <c r="A698" t="s">
        <v>743</v>
      </c>
      <c r="B698">
        <v>33</v>
      </c>
      <c r="C698" t="s">
        <v>23</v>
      </c>
      <c r="D698" t="s">
        <v>16</v>
      </c>
      <c r="E698" t="s">
        <v>17</v>
      </c>
      <c r="F698" t="s">
        <v>18</v>
      </c>
      <c r="G698">
        <v>6</v>
      </c>
      <c r="H698">
        <v>9</v>
      </c>
      <c r="I698" t="s">
        <v>38</v>
      </c>
      <c r="J698">
        <v>3.6</v>
      </c>
      <c r="K698" t="s">
        <v>19</v>
      </c>
      <c r="L698">
        <v>66000</v>
      </c>
      <c r="M698" t="s">
        <v>19</v>
      </c>
      <c r="N698" t="s">
        <v>21</v>
      </c>
      <c r="O698">
        <v>0</v>
      </c>
    </row>
    <row r="699" spans="1:15" x14ac:dyDescent="0.3">
      <c r="A699" t="s">
        <v>744</v>
      </c>
      <c r="B699">
        <v>30</v>
      </c>
      <c r="C699" t="s">
        <v>15</v>
      </c>
      <c r="D699" t="s">
        <v>24</v>
      </c>
      <c r="E699" t="s">
        <v>31</v>
      </c>
      <c r="F699" t="s">
        <v>42</v>
      </c>
      <c r="G699">
        <v>5</v>
      </c>
      <c r="H699">
        <v>7</v>
      </c>
      <c r="I699" t="s">
        <v>19</v>
      </c>
      <c r="J699">
        <v>3.2</v>
      </c>
      <c r="K699" t="s">
        <v>48</v>
      </c>
      <c r="L699">
        <v>61000</v>
      </c>
      <c r="M699" t="s">
        <v>19</v>
      </c>
      <c r="N699" t="s">
        <v>21</v>
      </c>
      <c r="O699">
        <v>0</v>
      </c>
    </row>
    <row r="700" spans="1:15" x14ac:dyDescent="0.3">
      <c r="A700" t="s">
        <v>745</v>
      </c>
      <c r="B700">
        <v>42</v>
      </c>
      <c r="C700" t="s">
        <v>35</v>
      </c>
      <c r="D700" t="s">
        <v>16</v>
      </c>
      <c r="E700" t="s">
        <v>41</v>
      </c>
      <c r="F700" t="s">
        <v>42</v>
      </c>
      <c r="G700">
        <v>12</v>
      </c>
      <c r="H700">
        <v>8</v>
      </c>
      <c r="I700" t="s">
        <v>27</v>
      </c>
      <c r="J700">
        <v>3.7</v>
      </c>
      <c r="K700" t="s">
        <v>19</v>
      </c>
      <c r="L700">
        <v>65000</v>
      </c>
      <c r="M700" t="s">
        <v>19</v>
      </c>
      <c r="N700" t="s">
        <v>21</v>
      </c>
      <c r="O700">
        <v>0</v>
      </c>
    </row>
    <row r="701" spans="1:15" x14ac:dyDescent="0.3">
      <c r="A701" t="s">
        <v>746</v>
      </c>
      <c r="B701">
        <v>35</v>
      </c>
      <c r="C701" t="s">
        <v>23</v>
      </c>
      <c r="D701" t="s">
        <v>24</v>
      </c>
      <c r="E701" t="s">
        <v>45</v>
      </c>
      <c r="F701" t="s">
        <v>32</v>
      </c>
      <c r="G701">
        <v>7</v>
      </c>
      <c r="H701">
        <v>6</v>
      </c>
      <c r="I701" t="s">
        <v>33</v>
      </c>
      <c r="J701">
        <v>3.9</v>
      </c>
      <c r="K701" t="s">
        <v>19</v>
      </c>
      <c r="L701">
        <v>69000</v>
      </c>
      <c r="M701" t="s">
        <v>19</v>
      </c>
      <c r="N701" t="s">
        <v>21</v>
      </c>
      <c r="O701">
        <v>0</v>
      </c>
    </row>
    <row r="702" spans="1:15" x14ac:dyDescent="0.3">
      <c r="A702" t="s">
        <v>747</v>
      </c>
      <c r="B702">
        <v>29</v>
      </c>
      <c r="C702" t="s">
        <v>15</v>
      </c>
      <c r="D702" t="s">
        <v>16</v>
      </c>
      <c r="E702" t="s">
        <v>25</v>
      </c>
      <c r="F702" t="s">
        <v>37</v>
      </c>
      <c r="G702">
        <v>3</v>
      </c>
      <c r="H702">
        <v>6</v>
      </c>
      <c r="I702" t="s">
        <v>33</v>
      </c>
      <c r="J702">
        <v>3.4</v>
      </c>
      <c r="K702" t="s">
        <v>48</v>
      </c>
      <c r="L702">
        <v>62000</v>
      </c>
      <c r="M702" t="s">
        <v>19</v>
      </c>
      <c r="N702" t="s">
        <v>21</v>
      </c>
      <c r="O702">
        <v>0</v>
      </c>
    </row>
    <row r="703" spans="1:15" x14ac:dyDescent="0.3">
      <c r="A703" t="s">
        <v>748</v>
      </c>
      <c r="B703">
        <v>33</v>
      </c>
      <c r="C703" t="s">
        <v>23</v>
      </c>
      <c r="D703" t="s">
        <v>24</v>
      </c>
      <c r="E703" t="s">
        <v>36</v>
      </c>
      <c r="F703" t="s">
        <v>37</v>
      </c>
      <c r="G703">
        <v>6</v>
      </c>
      <c r="H703">
        <v>7</v>
      </c>
      <c r="I703" t="s">
        <v>19</v>
      </c>
      <c r="J703">
        <v>3.5</v>
      </c>
      <c r="K703" t="s">
        <v>48</v>
      </c>
      <c r="L703">
        <v>63000</v>
      </c>
      <c r="M703" t="s">
        <v>19</v>
      </c>
      <c r="N703" t="s">
        <v>21</v>
      </c>
      <c r="O703">
        <v>0</v>
      </c>
    </row>
    <row r="704" spans="1:15" x14ac:dyDescent="0.3">
      <c r="A704" t="s">
        <v>749</v>
      </c>
      <c r="B704">
        <v>31</v>
      </c>
      <c r="C704" t="s">
        <v>23</v>
      </c>
      <c r="D704" t="s">
        <v>16</v>
      </c>
      <c r="E704" t="s">
        <v>17</v>
      </c>
      <c r="F704" t="s">
        <v>18</v>
      </c>
      <c r="G704">
        <v>5</v>
      </c>
      <c r="H704">
        <v>8</v>
      </c>
      <c r="I704" t="s">
        <v>27</v>
      </c>
      <c r="J704">
        <v>3.6</v>
      </c>
      <c r="K704" t="s">
        <v>19</v>
      </c>
      <c r="L704">
        <v>64000</v>
      </c>
      <c r="M704" t="s">
        <v>19</v>
      </c>
      <c r="N704" t="s">
        <v>21</v>
      </c>
      <c r="O704">
        <v>0</v>
      </c>
    </row>
    <row r="705" spans="1:15" x14ac:dyDescent="0.3">
      <c r="A705" t="s">
        <v>750</v>
      </c>
      <c r="B705">
        <v>37</v>
      </c>
      <c r="C705" t="s">
        <v>44</v>
      </c>
      <c r="D705" t="s">
        <v>24</v>
      </c>
      <c r="E705" t="s">
        <v>31</v>
      </c>
      <c r="F705" t="s">
        <v>42</v>
      </c>
      <c r="G705">
        <v>6</v>
      </c>
      <c r="H705">
        <v>9</v>
      </c>
      <c r="I705" t="s">
        <v>38</v>
      </c>
      <c r="J705">
        <v>3.7</v>
      </c>
      <c r="K705" t="s">
        <v>19</v>
      </c>
      <c r="L705">
        <v>67000</v>
      </c>
      <c r="M705" t="s">
        <v>19</v>
      </c>
      <c r="N705" t="s">
        <v>21</v>
      </c>
      <c r="O705">
        <v>0</v>
      </c>
    </row>
    <row r="706" spans="1:15" x14ac:dyDescent="0.3">
      <c r="A706" t="s">
        <v>751</v>
      </c>
      <c r="B706">
        <v>28</v>
      </c>
      <c r="C706" t="s">
        <v>15</v>
      </c>
      <c r="D706" t="s">
        <v>16</v>
      </c>
      <c r="E706" t="s">
        <v>41</v>
      </c>
      <c r="F706" t="s">
        <v>42</v>
      </c>
      <c r="G706">
        <v>2</v>
      </c>
      <c r="H706">
        <v>6</v>
      </c>
      <c r="I706" t="s">
        <v>33</v>
      </c>
      <c r="J706">
        <v>3.8</v>
      </c>
      <c r="K706" t="s">
        <v>19</v>
      </c>
      <c r="L706">
        <v>68000</v>
      </c>
      <c r="M706" t="s">
        <v>19</v>
      </c>
      <c r="N706" t="s">
        <v>21</v>
      </c>
      <c r="O706">
        <v>0</v>
      </c>
    </row>
    <row r="707" spans="1:15" x14ac:dyDescent="0.3">
      <c r="A707" t="s">
        <v>752</v>
      </c>
      <c r="B707">
        <v>35</v>
      </c>
      <c r="C707" t="s">
        <v>23</v>
      </c>
      <c r="D707" t="s">
        <v>24</v>
      </c>
      <c r="E707" t="s">
        <v>45</v>
      </c>
      <c r="F707" t="s">
        <v>32</v>
      </c>
      <c r="G707">
        <v>7</v>
      </c>
      <c r="H707">
        <v>8</v>
      </c>
      <c r="I707" t="s">
        <v>27</v>
      </c>
      <c r="J707">
        <v>3.5</v>
      </c>
      <c r="K707" t="s">
        <v>48</v>
      </c>
      <c r="L707">
        <v>69000</v>
      </c>
      <c r="M707" t="s">
        <v>19</v>
      </c>
      <c r="N707" t="s">
        <v>21</v>
      </c>
      <c r="O707">
        <v>0</v>
      </c>
    </row>
    <row r="708" spans="1:15" x14ac:dyDescent="0.3">
      <c r="A708" t="s">
        <v>753</v>
      </c>
      <c r="B708">
        <v>33</v>
      </c>
      <c r="C708" t="s">
        <v>23</v>
      </c>
      <c r="D708" t="s">
        <v>16</v>
      </c>
      <c r="E708" t="s">
        <v>25</v>
      </c>
      <c r="F708" t="s">
        <v>37</v>
      </c>
      <c r="G708">
        <v>6</v>
      </c>
      <c r="H708">
        <v>9</v>
      </c>
      <c r="I708" t="s">
        <v>38</v>
      </c>
      <c r="J708">
        <v>3.4</v>
      </c>
      <c r="K708" t="s">
        <v>48</v>
      </c>
      <c r="L708">
        <v>62000</v>
      </c>
      <c r="M708" t="s">
        <v>19</v>
      </c>
      <c r="N708" t="s">
        <v>21</v>
      </c>
      <c r="O708">
        <v>0</v>
      </c>
    </row>
    <row r="709" spans="1:15" x14ac:dyDescent="0.3">
      <c r="A709" t="s">
        <v>754</v>
      </c>
      <c r="B709">
        <v>30</v>
      </c>
      <c r="C709" t="s">
        <v>15</v>
      </c>
      <c r="D709" t="s">
        <v>24</v>
      </c>
      <c r="E709" t="s">
        <v>36</v>
      </c>
      <c r="F709" t="s">
        <v>37</v>
      </c>
      <c r="G709">
        <v>5</v>
      </c>
      <c r="H709">
        <v>7</v>
      </c>
      <c r="I709" t="s">
        <v>19</v>
      </c>
      <c r="J709">
        <v>3.5</v>
      </c>
      <c r="K709" t="s">
        <v>48</v>
      </c>
      <c r="L709">
        <v>63000</v>
      </c>
      <c r="M709" t="s">
        <v>19</v>
      </c>
      <c r="N709" t="s">
        <v>21</v>
      </c>
      <c r="O709">
        <v>0</v>
      </c>
    </row>
    <row r="710" spans="1:15" x14ac:dyDescent="0.3">
      <c r="A710" t="s">
        <v>755</v>
      </c>
      <c r="B710">
        <v>27</v>
      </c>
      <c r="C710" t="s">
        <v>15</v>
      </c>
      <c r="D710" t="s">
        <v>16</v>
      </c>
      <c r="E710" t="s">
        <v>17</v>
      </c>
      <c r="F710" t="s">
        <v>18</v>
      </c>
      <c r="G710">
        <v>3</v>
      </c>
      <c r="H710">
        <v>6</v>
      </c>
      <c r="I710" t="s">
        <v>33</v>
      </c>
      <c r="J710">
        <v>3.6</v>
      </c>
      <c r="K710" t="s">
        <v>19</v>
      </c>
      <c r="L710">
        <v>64000</v>
      </c>
      <c r="M710" t="s">
        <v>19</v>
      </c>
      <c r="N710" t="s">
        <v>21</v>
      </c>
      <c r="O710">
        <v>0</v>
      </c>
    </row>
    <row r="711" spans="1:15" x14ac:dyDescent="0.3">
      <c r="A711" t="s">
        <v>756</v>
      </c>
      <c r="B711">
        <v>35</v>
      </c>
      <c r="C711" t="s">
        <v>23</v>
      </c>
      <c r="D711" t="s">
        <v>24</v>
      </c>
      <c r="E711" t="s">
        <v>31</v>
      </c>
      <c r="F711" t="s">
        <v>42</v>
      </c>
      <c r="G711">
        <v>8</v>
      </c>
      <c r="H711">
        <v>7</v>
      </c>
      <c r="I711" t="s">
        <v>19</v>
      </c>
      <c r="J711">
        <v>3.7</v>
      </c>
      <c r="K711" t="s">
        <v>19</v>
      </c>
      <c r="L711">
        <v>67000</v>
      </c>
      <c r="M711" t="s">
        <v>19</v>
      </c>
      <c r="N711" t="s">
        <v>21</v>
      </c>
      <c r="O711">
        <v>0</v>
      </c>
    </row>
    <row r="712" spans="1:15" x14ac:dyDescent="0.3">
      <c r="A712" t="s">
        <v>757</v>
      </c>
      <c r="B712">
        <v>32</v>
      </c>
      <c r="C712" t="s">
        <v>23</v>
      </c>
      <c r="D712" t="s">
        <v>16</v>
      </c>
      <c r="E712" t="s">
        <v>41</v>
      </c>
      <c r="F712" t="s">
        <v>42</v>
      </c>
      <c r="G712">
        <v>6</v>
      </c>
      <c r="H712">
        <v>8</v>
      </c>
      <c r="I712" t="s">
        <v>27</v>
      </c>
      <c r="J712">
        <v>3.8</v>
      </c>
      <c r="K712" t="s">
        <v>19</v>
      </c>
      <c r="L712">
        <v>68000</v>
      </c>
      <c r="M712" t="s">
        <v>19</v>
      </c>
      <c r="N712" t="s">
        <v>21</v>
      </c>
      <c r="O712">
        <v>0</v>
      </c>
    </row>
    <row r="713" spans="1:15" x14ac:dyDescent="0.3">
      <c r="A713" t="s">
        <v>758</v>
      </c>
      <c r="B713">
        <v>30</v>
      </c>
      <c r="C713" t="s">
        <v>15</v>
      </c>
      <c r="D713" t="s">
        <v>24</v>
      </c>
      <c r="E713" t="s">
        <v>45</v>
      </c>
      <c r="F713" t="s">
        <v>32</v>
      </c>
      <c r="G713">
        <v>4</v>
      </c>
      <c r="H713">
        <v>9</v>
      </c>
      <c r="I713" t="s">
        <v>38</v>
      </c>
      <c r="J713">
        <v>3.9</v>
      </c>
      <c r="K713" t="s">
        <v>19</v>
      </c>
      <c r="L713">
        <v>69000</v>
      </c>
      <c r="M713" t="s">
        <v>19</v>
      </c>
      <c r="N713" t="s">
        <v>21</v>
      </c>
      <c r="O713">
        <v>0</v>
      </c>
    </row>
    <row r="714" spans="1:15" x14ac:dyDescent="0.3">
      <c r="A714" t="s">
        <v>759</v>
      </c>
      <c r="B714">
        <v>29</v>
      </c>
      <c r="C714" t="s">
        <v>15</v>
      </c>
      <c r="D714" t="s">
        <v>16</v>
      </c>
      <c r="E714" t="s">
        <v>25</v>
      </c>
      <c r="F714" t="s">
        <v>37</v>
      </c>
      <c r="G714">
        <v>3</v>
      </c>
      <c r="H714">
        <v>7</v>
      </c>
      <c r="I714" t="s">
        <v>19</v>
      </c>
      <c r="J714">
        <v>3.5</v>
      </c>
      <c r="K714" t="s">
        <v>48</v>
      </c>
      <c r="L714">
        <v>62000</v>
      </c>
      <c r="M714" t="s">
        <v>19</v>
      </c>
      <c r="N714" t="s">
        <v>21</v>
      </c>
      <c r="O714">
        <v>0</v>
      </c>
    </row>
    <row r="715" spans="1:15" x14ac:dyDescent="0.3">
      <c r="A715" t="s">
        <v>760</v>
      </c>
      <c r="B715">
        <v>41</v>
      </c>
      <c r="C715" t="s">
        <v>35</v>
      </c>
      <c r="D715" t="s">
        <v>24</v>
      </c>
      <c r="E715" t="s">
        <v>36</v>
      </c>
      <c r="F715" t="s">
        <v>37</v>
      </c>
      <c r="G715">
        <v>10</v>
      </c>
      <c r="H715">
        <v>9</v>
      </c>
      <c r="I715" t="s">
        <v>38</v>
      </c>
      <c r="J715">
        <v>3.4</v>
      </c>
      <c r="K715" t="s">
        <v>48</v>
      </c>
      <c r="L715">
        <v>63000</v>
      </c>
      <c r="M715" t="s">
        <v>19</v>
      </c>
      <c r="N715" t="s">
        <v>21</v>
      </c>
      <c r="O715">
        <v>0</v>
      </c>
    </row>
    <row r="716" spans="1:15" x14ac:dyDescent="0.3">
      <c r="A716" t="s">
        <v>761</v>
      </c>
      <c r="B716">
        <v>34</v>
      </c>
      <c r="C716" t="s">
        <v>23</v>
      </c>
      <c r="D716" t="s">
        <v>16</v>
      </c>
      <c r="E716" t="s">
        <v>17</v>
      </c>
      <c r="F716" t="s">
        <v>18</v>
      </c>
      <c r="G716">
        <v>7</v>
      </c>
      <c r="H716">
        <v>8</v>
      </c>
      <c r="I716" t="s">
        <v>27</v>
      </c>
      <c r="J716">
        <v>3.5</v>
      </c>
      <c r="K716" t="s">
        <v>48</v>
      </c>
      <c r="L716">
        <v>64000</v>
      </c>
      <c r="M716" t="s">
        <v>19</v>
      </c>
      <c r="N716" t="s">
        <v>21</v>
      </c>
      <c r="O716">
        <v>0</v>
      </c>
    </row>
    <row r="717" spans="1:15" x14ac:dyDescent="0.3">
      <c r="A717" t="s">
        <v>762</v>
      </c>
      <c r="B717">
        <v>32</v>
      </c>
      <c r="C717" t="s">
        <v>23</v>
      </c>
      <c r="D717" t="s">
        <v>24</v>
      </c>
      <c r="E717" t="s">
        <v>31</v>
      </c>
      <c r="F717" t="s">
        <v>42</v>
      </c>
      <c r="G717">
        <v>5</v>
      </c>
      <c r="H717">
        <v>6</v>
      </c>
      <c r="I717" t="s">
        <v>33</v>
      </c>
      <c r="J717">
        <v>3.6</v>
      </c>
      <c r="K717" t="s">
        <v>19</v>
      </c>
      <c r="L717">
        <v>67000</v>
      </c>
      <c r="M717" t="s">
        <v>19</v>
      </c>
      <c r="N717" t="s">
        <v>21</v>
      </c>
      <c r="O717">
        <v>0</v>
      </c>
    </row>
    <row r="718" spans="1:15" x14ac:dyDescent="0.3">
      <c r="A718" t="s">
        <v>763</v>
      </c>
      <c r="B718">
        <v>38</v>
      </c>
      <c r="C718" t="s">
        <v>44</v>
      </c>
      <c r="D718" t="s">
        <v>16</v>
      </c>
      <c r="E718" t="s">
        <v>41</v>
      </c>
      <c r="F718" t="s">
        <v>42</v>
      </c>
      <c r="G718">
        <v>9</v>
      </c>
      <c r="H718">
        <v>7</v>
      </c>
      <c r="I718" t="s">
        <v>19</v>
      </c>
      <c r="J718">
        <v>3.7</v>
      </c>
      <c r="K718" t="s">
        <v>19</v>
      </c>
      <c r="L718">
        <v>68000</v>
      </c>
      <c r="M718" t="s">
        <v>19</v>
      </c>
      <c r="N718" t="s">
        <v>21</v>
      </c>
      <c r="O718">
        <v>0</v>
      </c>
    </row>
    <row r="719" spans="1:15" x14ac:dyDescent="0.3">
      <c r="A719" t="s">
        <v>764</v>
      </c>
      <c r="B719">
        <v>27</v>
      </c>
      <c r="C719" t="s">
        <v>15</v>
      </c>
      <c r="D719" t="s">
        <v>24</v>
      </c>
      <c r="E719" t="s">
        <v>45</v>
      </c>
      <c r="F719" t="s">
        <v>32</v>
      </c>
      <c r="G719">
        <v>2</v>
      </c>
      <c r="H719">
        <v>8</v>
      </c>
      <c r="I719" t="s">
        <v>27</v>
      </c>
      <c r="J719">
        <v>3.8</v>
      </c>
      <c r="K719" t="s">
        <v>19</v>
      </c>
      <c r="L719">
        <v>69000</v>
      </c>
      <c r="M719" t="s">
        <v>19</v>
      </c>
      <c r="N719" t="s">
        <v>21</v>
      </c>
      <c r="O719">
        <v>0</v>
      </c>
    </row>
    <row r="720" spans="1:15" x14ac:dyDescent="0.3">
      <c r="A720" t="s">
        <v>765</v>
      </c>
      <c r="B720">
        <v>35</v>
      </c>
      <c r="C720" t="s">
        <v>23</v>
      </c>
      <c r="D720" t="s">
        <v>16</v>
      </c>
      <c r="E720" t="s">
        <v>25</v>
      </c>
      <c r="F720" t="s">
        <v>37</v>
      </c>
      <c r="G720">
        <v>6</v>
      </c>
      <c r="H720">
        <v>9</v>
      </c>
      <c r="I720" t="s">
        <v>38</v>
      </c>
      <c r="J720">
        <v>3.9</v>
      </c>
      <c r="K720" t="s">
        <v>19</v>
      </c>
      <c r="L720">
        <v>62000</v>
      </c>
      <c r="M720" t="s">
        <v>19</v>
      </c>
      <c r="N720" t="s">
        <v>21</v>
      </c>
      <c r="O720">
        <v>0</v>
      </c>
    </row>
    <row r="721" spans="1:15" x14ac:dyDescent="0.3">
      <c r="A721" t="s">
        <v>766</v>
      </c>
      <c r="B721">
        <v>33</v>
      </c>
      <c r="C721" t="s">
        <v>23</v>
      </c>
      <c r="D721" t="s">
        <v>24</v>
      </c>
      <c r="E721" t="s">
        <v>36</v>
      </c>
      <c r="F721" t="s">
        <v>37</v>
      </c>
      <c r="G721">
        <v>5</v>
      </c>
      <c r="H721">
        <v>7</v>
      </c>
      <c r="I721" t="s">
        <v>19</v>
      </c>
      <c r="J721">
        <v>3.5</v>
      </c>
      <c r="K721" t="s">
        <v>48</v>
      </c>
      <c r="L721">
        <v>63000</v>
      </c>
      <c r="M721" t="s">
        <v>19</v>
      </c>
      <c r="N721" t="s">
        <v>21</v>
      </c>
      <c r="O721">
        <v>0</v>
      </c>
    </row>
    <row r="722" spans="1:15" x14ac:dyDescent="0.3">
      <c r="A722" t="s">
        <v>767</v>
      </c>
      <c r="B722">
        <v>30</v>
      </c>
      <c r="C722" t="s">
        <v>15</v>
      </c>
      <c r="D722" t="s">
        <v>16</v>
      </c>
      <c r="E722" t="s">
        <v>17</v>
      </c>
      <c r="F722" t="s">
        <v>18</v>
      </c>
      <c r="G722">
        <v>4</v>
      </c>
      <c r="H722">
        <v>8</v>
      </c>
      <c r="I722" t="s">
        <v>27</v>
      </c>
      <c r="J722">
        <v>3.6</v>
      </c>
      <c r="K722" t="s">
        <v>19</v>
      </c>
      <c r="L722">
        <v>64000</v>
      </c>
      <c r="M722" t="s">
        <v>19</v>
      </c>
      <c r="N722" t="s">
        <v>21</v>
      </c>
      <c r="O722">
        <v>0</v>
      </c>
    </row>
    <row r="723" spans="1:15" x14ac:dyDescent="0.3">
      <c r="A723" t="s">
        <v>768</v>
      </c>
      <c r="B723">
        <v>45</v>
      </c>
      <c r="C723" t="s">
        <v>35</v>
      </c>
      <c r="D723" t="s">
        <v>24</v>
      </c>
      <c r="E723" t="s">
        <v>31</v>
      </c>
      <c r="F723" t="s">
        <v>42</v>
      </c>
      <c r="G723">
        <v>15</v>
      </c>
      <c r="H723">
        <v>9</v>
      </c>
      <c r="I723" t="s">
        <v>38</v>
      </c>
      <c r="J723">
        <v>3.7</v>
      </c>
      <c r="K723" t="s">
        <v>19</v>
      </c>
      <c r="L723">
        <v>67000</v>
      </c>
      <c r="M723" t="s">
        <v>19</v>
      </c>
      <c r="N723" t="s">
        <v>21</v>
      </c>
      <c r="O723">
        <v>0</v>
      </c>
    </row>
    <row r="724" spans="1:15" x14ac:dyDescent="0.3">
      <c r="A724" t="s">
        <v>769</v>
      </c>
      <c r="B724">
        <v>32</v>
      </c>
      <c r="C724" t="s">
        <v>23</v>
      </c>
      <c r="D724" t="s">
        <v>16</v>
      </c>
      <c r="E724" t="s">
        <v>41</v>
      </c>
      <c r="F724" t="s">
        <v>42</v>
      </c>
      <c r="G724">
        <v>6</v>
      </c>
      <c r="H724">
        <v>7</v>
      </c>
      <c r="I724" t="s">
        <v>19</v>
      </c>
      <c r="J724">
        <v>3.8</v>
      </c>
      <c r="K724" t="s">
        <v>19</v>
      </c>
      <c r="L724">
        <v>68000</v>
      </c>
      <c r="M724" t="s">
        <v>19</v>
      </c>
      <c r="N724" t="s">
        <v>21</v>
      </c>
      <c r="O724">
        <v>0</v>
      </c>
    </row>
    <row r="725" spans="1:15" x14ac:dyDescent="0.3">
      <c r="A725" t="s">
        <v>770</v>
      </c>
      <c r="B725">
        <v>29</v>
      </c>
      <c r="C725" t="s">
        <v>15</v>
      </c>
      <c r="D725" t="s">
        <v>24</v>
      </c>
      <c r="E725" t="s">
        <v>45</v>
      </c>
      <c r="F725" t="s">
        <v>32</v>
      </c>
      <c r="G725">
        <v>4</v>
      </c>
      <c r="H725">
        <v>9</v>
      </c>
      <c r="I725" t="s">
        <v>38</v>
      </c>
      <c r="J725">
        <v>3.9</v>
      </c>
      <c r="K725" t="s">
        <v>19</v>
      </c>
      <c r="L725">
        <v>69000</v>
      </c>
      <c r="M725" t="s">
        <v>19</v>
      </c>
      <c r="N725" t="s">
        <v>21</v>
      </c>
      <c r="O725">
        <v>0</v>
      </c>
    </row>
    <row r="726" spans="1:15" x14ac:dyDescent="0.3">
      <c r="A726" t="s">
        <v>771</v>
      </c>
      <c r="B726">
        <v>39</v>
      </c>
      <c r="C726" t="s">
        <v>44</v>
      </c>
      <c r="D726" t="s">
        <v>16</v>
      </c>
      <c r="E726" t="s">
        <v>25</v>
      </c>
      <c r="F726" t="s">
        <v>37</v>
      </c>
      <c r="G726">
        <v>8</v>
      </c>
      <c r="H726">
        <v>6</v>
      </c>
      <c r="I726" t="s">
        <v>33</v>
      </c>
      <c r="J726">
        <v>3.4</v>
      </c>
      <c r="K726" t="s">
        <v>48</v>
      </c>
      <c r="L726">
        <v>62000</v>
      </c>
      <c r="M726" t="s">
        <v>19</v>
      </c>
      <c r="N726" t="s">
        <v>21</v>
      </c>
      <c r="O726">
        <v>0</v>
      </c>
    </row>
    <row r="727" spans="1:15" x14ac:dyDescent="0.3">
      <c r="A727" t="s">
        <v>772</v>
      </c>
      <c r="B727">
        <v>36</v>
      </c>
      <c r="C727" t="s">
        <v>44</v>
      </c>
      <c r="D727" t="s">
        <v>24</v>
      </c>
      <c r="E727" t="s">
        <v>36</v>
      </c>
      <c r="F727" t="s">
        <v>37</v>
      </c>
      <c r="G727">
        <v>7</v>
      </c>
      <c r="H727">
        <v>8</v>
      </c>
      <c r="I727" t="s">
        <v>27</v>
      </c>
      <c r="J727">
        <v>3.5</v>
      </c>
      <c r="K727" t="s">
        <v>48</v>
      </c>
      <c r="L727">
        <v>63000</v>
      </c>
      <c r="M727" t="s">
        <v>19</v>
      </c>
      <c r="N727" t="s">
        <v>21</v>
      </c>
      <c r="O727">
        <v>0</v>
      </c>
    </row>
    <row r="728" spans="1:15" x14ac:dyDescent="0.3">
      <c r="A728" t="s">
        <v>773</v>
      </c>
      <c r="B728">
        <v>33</v>
      </c>
      <c r="C728" t="s">
        <v>23</v>
      </c>
      <c r="D728" t="s">
        <v>16</v>
      </c>
      <c r="E728" t="s">
        <v>17</v>
      </c>
      <c r="F728" t="s">
        <v>18</v>
      </c>
      <c r="G728">
        <v>6</v>
      </c>
      <c r="H728">
        <v>9</v>
      </c>
      <c r="I728" t="s">
        <v>38</v>
      </c>
      <c r="J728">
        <v>3.6</v>
      </c>
      <c r="K728" t="s">
        <v>19</v>
      </c>
      <c r="L728">
        <v>64000</v>
      </c>
      <c r="M728" t="s">
        <v>19</v>
      </c>
      <c r="N728" t="s">
        <v>21</v>
      </c>
      <c r="O728">
        <v>0</v>
      </c>
    </row>
    <row r="729" spans="1:15" x14ac:dyDescent="0.3">
      <c r="A729" t="s">
        <v>774</v>
      </c>
      <c r="B729">
        <v>30</v>
      </c>
      <c r="C729" t="s">
        <v>15</v>
      </c>
      <c r="D729" t="s">
        <v>24</v>
      </c>
      <c r="E729" t="s">
        <v>31</v>
      </c>
      <c r="F729" t="s">
        <v>42</v>
      </c>
      <c r="G729">
        <v>5</v>
      </c>
      <c r="H729">
        <v>7</v>
      </c>
      <c r="I729" t="s">
        <v>19</v>
      </c>
      <c r="J729">
        <v>3.7</v>
      </c>
      <c r="K729" t="s">
        <v>19</v>
      </c>
      <c r="L729">
        <v>67000</v>
      </c>
      <c r="M729" t="s">
        <v>19</v>
      </c>
      <c r="N729" t="s">
        <v>21</v>
      </c>
      <c r="O729">
        <v>0</v>
      </c>
    </row>
    <row r="730" spans="1:15" x14ac:dyDescent="0.3">
      <c r="A730" t="s">
        <v>775</v>
      </c>
      <c r="B730">
        <v>42</v>
      </c>
      <c r="C730" t="s">
        <v>35</v>
      </c>
      <c r="D730" t="s">
        <v>16</v>
      </c>
      <c r="E730" t="s">
        <v>41</v>
      </c>
      <c r="F730" t="s">
        <v>42</v>
      </c>
      <c r="G730">
        <v>12</v>
      </c>
      <c r="H730">
        <v>8</v>
      </c>
      <c r="I730" t="s">
        <v>27</v>
      </c>
      <c r="J730">
        <v>3.8</v>
      </c>
      <c r="K730" t="s">
        <v>19</v>
      </c>
      <c r="L730">
        <v>68000</v>
      </c>
      <c r="M730" t="s">
        <v>19</v>
      </c>
      <c r="N730" t="s">
        <v>21</v>
      </c>
      <c r="O730">
        <v>0</v>
      </c>
    </row>
    <row r="731" spans="1:15" x14ac:dyDescent="0.3">
      <c r="A731" t="s">
        <v>776</v>
      </c>
      <c r="B731">
        <v>35</v>
      </c>
      <c r="C731" t="s">
        <v>23</v>
      </c>
      <c r="D731" t="s">
        <v>24</v>
      </c>
      <c r="E731" t="s">
        <v>45</v>
      </c>
      <c r="F731" t="s">
        <v>32</v>
      </c>
      <c r="G731">
        <v>7</v>
      </c>
      <c r="H731">
        <v>6</v>
      </c>
      <c r="I731" t="s">
        <v>33</v>
      </c>
      <c r="J731">
        <v>3.9</v>
      </c>
      <c r="K731" t="s">
        <v>19</v>
      </c>
      <c r="L731">
        <v>69000</v>
      </c>
      <c r="M731" t="s">
        <v>19</v>
      </c>
      <c r="N731" t="s">
        <v>21</v>
      </c>
      <c r="O731">
        <v>0</v>
      </c>
    </row>
    <row r="732" spans="1:15" x14ac:dyDescent="0.3">
      <c r="A732" t="s">
        <v>777</v>
      </c>
      <c r="B732">
        <v>29</v>
      </c>
      <c r="C732" t="s">
        <v>15</v>
      </c>
      <c r="D732" t="s">
        <v>16</v>
      </c>
      <c r="E732" t="s">
        <v>25</v>
      </c>
      <c r="F732" t="s">
        <v>37</v>
      </c>
      <c r="G732">
        <v>3</v>
      </c>
      <c r="H732">
        <v>6</v>
      </c>
      <c r="I732" t="s">
        <v>33</v>
      </c>
      <c r="J732">
        <v>3.4</v>
      </c>
      <c r="K732" t="s">
        <v>48</v>
      </c>
      <c r="L732">
        <v>62000</v>
      </c>
      <c r="M732" t="s">
        <v>19</v>
      </c>
      <c r="N732" t="s">
        <v>21</v>
      </c>
      <c r="O732">
        <v>0</v>
      </c>
    </row>
    <row r="733" spans="1:15" x14ac:dyDescent="0.3">
      <c r="A733" t="s">
        <v>778</v>
      </c>
      <c r="B733">
        <v>33</v>
      </c>
      <c r="C733" t="s">
        <v>23</v>
      </c>
      <c r="D733" t="s">
        <v>24</v>
      </c>
      <c r="E733" t="s">
        <v>36</v>
      </c>
      <c r="F733" t="s">
        <v>37</v>
      </c>
      <c r="G733">
        <v>6</v>
      </c>
      <c r="H733">
        <v>7</v>
      </c>
      <c r="I733" t="s">
        <v>19</v>
      </c>
      <c r="J733">
        <v>3.5</v>
      </c>
      <c r="K733" t="s">
        <v>48</v>
      </c>
      <c r="L733">
        <v>63000</v>
      </c>
      <c r="M733" t="s">
        <v>19</v>
      </c>
      <c r="N733" t="s">
        <v>21</v>
      </c>
      <c r="O733">
        <v>0</v>
      </c>
    </row>
    <row r="734" spans="1:15" x14ac:dyDescent="0.3">
      <c r="A734" t="s">
        <v>779</v>
      </c>
      <c r="B734">
        <v>31</v>
      </c>
      <c r="C734" t="s">
        <v>23</v>
      </c>
      <c r="D734" t="s">
        <v>16</v>
      </c>
      <c r="E734" t="s">
        <v>17</v>
      </c>
      <c r="F734" t="s">
        <v>18</v>
      </c>
      <c r="G734">
        <v>5</v>
      </c>
      <c r="H734">
        <v>8</v>
      </c>
      <c r="I734" t="s">
        <v>27</v>
      </c>
      <c r="J734">
        <v>3.6</v>
      </c>
      <c r="K734" t="s">
        <v>19</v>
      </c>
      <c r="L734">
        <v>64000</v>
      </c>
      <c r="M734" t="s">
        <v>19</v>
      </c>
      <c r="N734" t="s">
        <v>21</v>
      </c>
      <c r="O734">
        <v>0</v>
      </c>
    </row>
    <row r="735" spans="1:15" x14ac:dyDescent="0.3">
      <c r="A735" t="s">
        <v>780</v>
      </c>
      <c r="B735">
        <v>37</v>
      </c>
      <c r="C735" t="s">
        <v>44</v>
      </c>
      <c r="D735" t="s">
        <v>24</v>
      </c>
      <c r="E735" t="s">
        <v>31</v>
      </c>
      <c r="F735" t="s">
        <v>42</v>
      </c>
      <c r="G735">
        <v>6</v>
      </c>
      <c r="H735">
        <v>9</v>
      </c>
      <c r="I735" t="s">
        <v>38</v>
      </c>
      <c r="J735">
        <v>3.7</v>
      </c>
      <c r="K735" t="s">
        <v>19</v>
      </c>
      <c r="L735">
        <v>67000</v>
      </c>
      <c r="M735" t="s">
        <v>19</v>
      </c>
      <c r="N735" t="s">
        <v>21</v>
      </c>
      <c r="O735">
        <v>0</v>
      </c>
    </row>
    <row r="736" spans="1:15" x14ac:dyDescent="0.3">
      <c r="A736" t="s">
        <v>781</v>
      </c>
      <c r="B736">
        <v>28</v>
      </c>
      <c r="C736" t="s">
        <v>15</v>
      </c>
      <c r="D736" t="s">
        <v>16</v>
      </c>
      <c r="E736" t="s">
        <v>41</v>
      </c>
      <c r="F736" t="s">
        <v>42</v>
      </c>
      <c r="G736">
        <v>2</v>
      </c>
      <c r="H736">
        <v>6</v>
      </c>
      <c r="I736" t="s">
        <v>33</v>
      </c>
      <c r="J736">
        <v>3.8</v>
      </c>
      <c r="K736" t="s">
        <v>19</v>
      </c>
      <c r="L736">
        <v>68000</v>
      </c>
      <c r="M736" t="s">
        <v>19</v>
      </c>
      <c r="N736" t="s">
        <v>21</v>
      </c>
      <c r="O736">
        <v>0</v>
      </c>
    </row>
    <row r="737" spans="1:15" x14ac:dyDescent="0.3">
      <c r="A737" t="s">
        <v>782</v>
      </c>
      <c r="B737">
        <v>35</v>
      </c>
      <c r="C737" t="s">
        <v>23</v>
      </c>
      <c r="D737" t="s">
        <v>24</v>
      </c>
      <c r="E737" t="s">
        <v>45</v>
      </c>
      <c r="F737" t="s">
        <v>32</v>
      </c>
      <c r="G737">
        <v>7</v>
      </c>
      <c r="H737">
        <v>8</v>
      </c>
      <c r="I737" t="s">
        <v>27</v>
      </c>
      <c r="J737">
        <v>3.5</v>
      </c>
      <c r="K737" t="s">
        <v>48</v>
      </c>
      <c r="L737">
        <v>69000</v>
      </c>
      <c r="M737" t="s">
        <v>19</v>
      </c>
      <c r="N737" t="s">
        <v>21</v>
      </c>
      <c r="O737">
        <v>0</v>
      </c>
    </row>
    <row r="738" spans="1:15" x14ac:dyDescent="0.3">
      <c r="A738" t="s">
        <v>783</v>
      </c>
      <c r="B738">
        <v>33</v>
      </c>
      <c r="C738" t="s">
        <v>23</v>
      </c>
      <c r="D738" t="s">
        <v>16</v>
      </c>
      <c r="E738" t="s">
        <v>25</v>
      </c>
      <c r="F738" t="s">
        <v>37</v>
      </c>
      <c r="G738">
        <v>6</v>
      </c>
      <c r="H738">
        <v>9</v>
      </c>
      <c r="I738" t="s">
        <v>38</v>
      </c>
      <c r="J738">
        <v>3.4</v>
      </c>
      <c r="K738" t="s">
        <v>48</v>
      </c>
      <c r="L738">
        <v>62000</v>
      </c>
      <c r="M738" t="s">
        <v>19</v>
      </c>
      <c r="N738" t="s">
        <v>21</v>
      </c>
      <c r="O738">
        <v>0</v>
      </c>
    </row>
    <row r="739" spans="1:15" x14ac:dyDescent="0.3">
      <c r="A739" t="s">
        <v>784</v>
      </c>
      <c r="B739">
        <v>30</v>
      </c>
      <c r="C739" t="s">
        <v>15</v>
      </c>
      <c r="D739" t="s">
        <v>24</v>
      </c>
      <c r="E739" t="s">
        <v>36</v>
      </c>
      <c r="F739" t="s">
        <v>37</v>
      </c>
      <c r="G739">
        <v>5</v>
      </c>
      <c r="H739">
        <v>7</v>
      </c>
      <c r="I739" t="s">
        <v>19</v>
      </c>
      <c r="J739">
        <v>3.5</v>
      </c>
      <c r="K739" t="s">
        <v>48</v>
      </c>
      <c r="L739">
        <v>63000</v>
      </c>
      <c r="M739" t="s">
        <v>19</v>
      </c>
      <c r="N739" t="s">
        <v>21</v>
      </c>
      <c r="O739">
        <v>0</v>
      </c>
    </row>
    <row r="740" spans="1:15" x14ac:dyDescent="0.3">
      <c r="A740" t="s">
        <v>785</v>
      </c>
      <c r="B740">
        <v>27</v>
      </c>
      <c r="C740" t="s">
        <v>15</v>
      </c>
      <c r="D740" t="s">
        <v>16</v>
      </c>
      <c r="E740" t="s">
        <v>17</v>
      </c>
      <c r="F740" t="s">
        <v>18</v>
      </c>
      <c r="G740">
        <v>3</v>
      </c>
      <c r="H740">
        <v>6</v>
      </c>
      <c r="I740" t="s">
        <v>33</v>
      </c>
      <c r="J740">
        <v>3.6</v>
      </c>
      <c r="K740" t="s">
        <v>19</v>
      </c>
      <c r="L740">
        <v>64000</v>
      </c>
      <c r="M740" t="s">
        <v>19</v>
      </c>
      <c r="N740" t="s">
        <v>21</v>
      </c>
      <c r="O740">
        <v>0</v>
      </c>
    </row>
    <row r="741" spans="1:15" x14ac:dyDescent="0.3">
      <c r="A741" t="s">
        <v>786</v>
      </c>
      <c r="B741">
        <v>35</v>
      </c>
      <c r="C741" t="s">
        <v>23</v>
      </c>
      <c r="D741" t="s">
        <v>24</v>
      </c>
      <c r="E741" t="s">
        <v>31</v>
      </c>
      <c r="F741" t="s">
        <v>42</v>
      </c>
      <c r="G741">
        <v>8</v>
      </c>
      <c r="H741">
        <v>7</v>
      </c>
      <c r="I741" t="s">
        <v>19</v>
      </c>
      <c r="J741">
        <v>3.7</v>
      </c>
      <c r="K741" t="s">
        <v>19</v>
      </c>
      <c r="L741">
        <v>67000</v>
      </c>
      <c r="M741" t="s">
        <v>19</v>
      </c>
      <c r="N741" t="s">
        <v>21</v>
      </c>
      <c r="O741">
        <v>0</v>
      </c>
    </row>
    <row r="742" spans="1:15" x14ac:dyDescent="0.3">
      <c r="A742" t="s">
        <v>787</v>
      </c>
      <c r="B742">
        <v>32</v>
      </c>
      <c r="C742" t="s">
        <v>23</v>
      </c>
      <c r="D742" t="s">
        <v>16</v>
      </c>
      <c r="E742" t="s">
        <v>41</v>
      </c>
      <c r="F742" t="s">
        <v>42</v>
      </c>
      <c r="G742">
        <v>6</v>
      </c>
      <c r="H742">
        <v>8</v>
      </c>
      <c r="I742" t="s">
        <v>27</v>
      </c>
      <c r="J742">
        <v>3.8</v>
      </c>
      <c r="K742" t="s">
        <v>19</v>
      </c>
      <c r="L742">
        <v>68000</v>
      </c>
      <c r="M742" t="s">
        <v>19</v>
      </c>
      <c r="N742" t="s">
        <v>21</v>
      </c>
      <c r="O742">
        <v>0</v>
      </c>
    </row>
    <row r="743" spans="1:15" x14ac:dyDescent="0.3">
      <c r="A743" t="s">
        <v>788</v>
      </c>
      <c r="B743">
        <v>30</v>
      </c>
      <c r="C743" t="s">
        <v>15</v>
      </c>
      <c r="D743" t="s">
        <v>24</v>
      </c>
      <c r="E743" t="s">
        <v>45</v>
      </c>
      <c r="F743" t="s">
        <v>32</v>
      </c>
      <c r="G743">
        <v>4</v>
      </c>
      <c r="H743">
        <v>9</v>
      </c>
      <c r="I743" t="s">
        <v>38</v>
      </c>
      <c r="J743">
        <v>3.9</v>
      </c>
      <c r="K743" t="s">
        <v>19</v>
      </c>
      <c r="L743">
        <v>69000</v>
      </c>
      <c r="M743" t="s">
        <v>19</v>
      </c>
      <c r="N743" t="s">
        <v>21</v>
      </c>
      <c r="O743">
        <v>0</v>
      </c>
    </row>
    <row r="744" spans="1:15" x14ac:dyDescent="0.3">
      <c r="A744" t="s">
        <v>789</v>
      </c>
      <c r="B744">
        <v>29</v>
      </c>
      <c r="C744" t="s">
        <v>15</v>
      </c>
      <c r="D744" t="s">
        <v>16</v>
      </c>
      <c r="E744" t="s">
        <v>25</v>
      </c>
      <c r="F744" t="s">
        <v>37</v>
      </c>
      <c r="G744">
        <v>3</v>
      </c>
      <c r="H744">
        <v>7</v>
      </c>
      <c r="I744" t="s">
        <v>19</v>
      </c>
      <c r="J744">
        <v>3.5</v>
      </c>
      <c r="K744" t="s">
        <v>48</v>
      </c>
      <c r="L744">
        <v>62000</v>
      </c>
      <c r="M744" t="s">
        <v>19</v>
      </c>
      <c r="N744" t="s">
        <v>21</v>
      </c>
      <c r="O744">
        <v>0</v>
      </c>
    </row>
    <row r="745" spans="1:15" x14ac:dyDescent="0.3">
      <c r="A745" t="s">
        <v>790</v>
      </c>
      <c r="B745">
        <v>41</v>
      </c>
      <c r="C745" t="s">
        <v>35</v>
      </c>
      <c r="D745" t="s">
        <v>24</v>
      </c>
      <c r="E745" t="s">
        <v>36</v>
      </c>
      <c r="F745" t="s">
        <v>37</v>
      </c>
      <c r="G745">
        <v>10</v>
      </c>
      <c r="H745">
        <v>9</v>
      </c>
      <c r="I745" t="s">
        <v>38</v>
      </c>
      <c r="J745">
        <v>3.4</v>
      </c>
      <c r="K745" t="s">
        <v>48</v>
      </c>
      <c r="L745">
        <v>63000</v>
      </c>
      <c r="M745" t="s">
        <v>19</v>
      </c>
      <c r="N745" t="s">
        <v>21</v>
      </c>
      <c r="O745">
        <v>0</v>
      </c>
    </row>
    <row r="746" spans="1:15" x14ac:dyDescent="0.3">
      <c r="A746" t="s">
        <v>791</v>
      </c>
      <c r="B746">
        <v>34</v>
      </c>
      <c r="C746" t="s">
        <v>23</v>
      </c>
      <c r="D746" t="s">
        <v>16</v>
      </c>
      <c r="E746" t="s">
        <v>17</v>
      </c>
      <c r="F746" t="s">
        <v>18</v>
      </c>
      <c r="G746">
        <v>7</v>
      </c>
      <c r="H746">
        <v>8</v>
      </c>
      <c r="I746" t="s">
        <v>27</v>
      </c>
      <c r="J746">
        <v>3.5</v>
      </c>
      <c r="K746" t="s">
        <v>48</v>
      </c>
      <c r="L746">
        <v>64000</v>
      </c>
      <c r="M746" t="s">
        <v>19</v>
      </c>
      <c r="N746" t="s">
        <v>21</v>
      </c>
      <c r="O746">
        <v>0</v>
      </c>
    </row>
    <row r="747" spans="1:15" x14ac:dyDescent="0.3">
      <c r="A747" t="s">
        <v>792</v>
      </c>
      <c r="B747">
        <v>32</v>
      </c>
      <c r="C747" t="s">
        <v>23</v>
      </c>
      <c r="D747" t="s">
        <v>24</v>
      </c>
      <c r="E747" t="s">
        <v>31</v>
      </c>
      <c r="F747" t="s">
        <v>42</v>
      </c>
      <c r="G747">
        <v>5</v>
      </c>
      <c r="H747">
        <v>6</v>
      </c>
      <c r="I747" t="s">
        <v>33</v>
      </c>
      <c r="J747">
        <v>3.6</v>
      </c>
      <c r="K747" t="s">
        <v>19</v>
      </c>
      <c r="L747">
        <v>67000</v>
      </c>
      <c r="M747" t="s">
        <v>19</v>
      </c>
      <c r="N747" t="s">
        <v>21</v>
      </c>
      <c r="O747">
        <v>0</v>
      </c>
    </row>
    <row r="748" spans="1:15" x14ac:dyDescent="0.3">
      <c r="A748" t="s">
        <v>793</v>
      </c>
      <c r="B748">
        <v>38</v>
      </c>
      <c r="C748" t="s">
        <v>44</v>
      </c>
      <c r="D748" t="s">
        <v>16</v>
      </c>
      <c r="E748" t="s">
        <v>41</v>
      </c>
      <c r="F748" t="s">
        <v>42</v>
      </c>
      <c r="G748">
        <v>9</v>
      </c>
      <c r="H748">
        <v>7</v>
      </c>
      <c r="I748" t="s">
        <v>19</v>
      </c>
      <c r="J748">
        <v>3.7</v>
      </c>
      <c r="K748" t="s">
        <v>19</v>
      </c>
      <c r="L748">
        <v>68000</v>
      </c>
      <c r="M748" t="s">
        <v>19</v>
      </c>
      <c r="N748" t="s">
        <v>21</v>
      </c>
      <c r="O748">
        <v>0</v>
      </c>
    </row>
    <row r="749" spans="1:15" x14ac:dyDescent="0.3">
      <c r="A749" t="s">
        <v>794</v>
      </c>
      <c r="B749">
        <v>27</v>
      </c>
      <c r="C749" t="s">
        <v>15</v>
      </c>
      <c r="D749" t="s">
        <v>24</v>
      </c>
      <c r="E749" t="s">
        <v>45</v>
      </c>
      <c r="F749" t="s">
        <v>32</v>
      </c>
      <c r="G749">
        <v>2</v>
      </c>
      <c r="H749">
        <v>8</v>
      </c>
      <c r="I749" t="s">
        <v>27</v>
      </c>
      <c r="J749">
        <v>3.8</v>
      </c>
      <c r="K749" t="s">
        <v>19</v>
      </c>
      <c r="L749">
        <v>69000</v>
      </c>
      <c r="M749" t="s">
        <v>19</v>
      </c>
      <c r="N749" t="s">
        <v>21</v>
      </c>
      <c r="O749">
        <v>0</v>
      </c>
    </row>
    <row r="750" spans="1:15" x14ac:dyDescent="0.3">
      <c r="A750" t="s">
        <v>795</v>
      </c>
      <c r="B750">
        <v>35</v>
      </c>
      <c r="C750" t="s">
        <v>23</v>
      </c>
      <c r="D750" t="s">
        <v>16</v>
      </c>
      <c r="E750" t="s">
        <v>25</v>
      </c>
      <c r="F750" t="s">
        <v>37</v>
      </c>
      <c r="G750">
        <v>6</v>
      </c>
      <c r="H750">
        <v>9</v>
      </c>
      <c r="I750" t="s">
        <v>38</v>
      </c>
      <c r="J750">
        <v>3.9</v>
      </c>
      <c r="K750" t="s">
        <v>19</v>
      </c>
      <c r="L750">
        <v>62000</v>
      </c>
      <c r="M750" t="s">
        <v>19</v>
      </c>
      <c r="N750" t="s">
        <v>21</v>
      </c>
      <c r="O750">
        <v>0</v>
      </c>
    </row>
    <row r="751" spans="1:15" x14ac:dyDescent="0.3">
      <c r="A751" t="s">
        <v>796</v>
      </c>
      <c r="B751">
        <v>33</v>
      </c>
      <c r="C751" t="s">
        <v>23</v>
      </c>
      <c r="D751" t="s">
        <v>24</v>
      </c>
      <c r="E751" t="s">
        <v>36</v>
      </c>
      <c r="F751" t="s">
        <v>37</v>
      </c>
      <c r="G751">
        <v>5</v>
      </c>
      <c r="H751">
        <v>7</v>
      </c>
      <c r="I751" t="s">
        <v>19</v>
      </c>
      <c r="J751">
        <v>3.5</v>
      </c>
      <c r="K751" t="s">
        <v>48</v>
      </c>
      <c r="L751">
        <v>63000</v>
      </c>
      <c r="M751" t="s">
        <v>19</v>
      </c>
      <c r="N751" t="s">
        <v>21</v>
      </c>
      <c r="O751">
        <v>0</v>
      </c>
    </row>
    <row r="752" spans="1:15" x14ac:dyDescent="0.3">
      <c r="A752" t="s">
        <v>797</v>
      </c>
      <c r="B752">
        <v>30</v>
      </c>
      <c r="C752" t="s">
        <v>15</v>
      </c>
      <c r="D752" t="s">
        <v>16</v>
      </c>
      <c r="E752" t="s">
        <v>17</v>
      </c>
      <c r="F752" t="s">
        <v>18</v>
      </c>
      <c r="G752">
        <v>4</v>
      </c>
      <c r="H752">
        <v>8</v>
      </c>
      <c r="I752" t="s">
        <v>27</v>
      </c>
      <c r="J752">
        <v>3.6</v>
      </c>
      <c r="K752" t="s">
        <v>19</v>
      </c>
      <c r="L752">
        <v>64000</v>
      </c>
      <c r="M752" t="s">
        <v>19</v>
      </c>
      <c r="N752" t="s">
        <v>21</v>
      </c>
      <c r="O752">
        <v>0</v>
      </c>
    </row>
    <row r="753" spans="1:15" x14ac:dyDescent="0.3">
      <c r="A753" t="s">
        <v>798</v>
      </c>
      <c r="B753">
        <v>45</v>
      </c>
      <c r="C753" t="s">
        <v>35</v>
      </c>
      <c r="D753" t="s">
        <v>24</v>
      </c>
      <c r="E753" t="s">
        <v>31</v>
      </c>
      <c r="F753" t="s">
        <v>42</v>
      </c>
      <c r="G753">
        <v>15</v>
      </c>
      <c r="H753">
        <v>9</v>
      </c>
      <c r="I753" t="s">
        <v>38</v>
      </c>
      <c r="J753">
        <v>3.7</v>
      </c>
      <c r="K753" t="s">
        <v>19</v>
      </c>
      <c r="L753">
        <v>67000</v>
      </c>
      <c r="M753" t="s">
        <v>19</v>
      </c>
      <c r="N753" t="s">
        <v>21</v>
      </c>
      <c r="O753">
        <v>0</v>
      </c>
    </row>
    <row r="754" spans="1:15" x14ac:dyDescent="0.3">
      <c r="A754" t="s">
        <v>799</v>
      </c>
      <c r="B754">
        <v>32</v>
      </c>
      <c r="C754" t="s">
        <v>23</v>
      </c>
      <c r="D754" t="s">
        <v>16</v>
      </c>
      <c r="E754" t="s">
        <v>41</v>
      </c>
      <c r="F754" t="s">
        <v>42</v>
      </c>
      <c r="G754">
        <v>6</v>
      </c>
      <c r="H754">
        <v>7</v>
      </c>
      <c r="I754" t="s">
        <v>19</v>
      </c>
      <c r="J754">
        <v>3.8</v>
      </c>
      <c r="K754" t="s">
        <v>19</v>
      </c>
      <c r="L754">
        <v>68000</v>
      </c>
      <c r="M754" t="s">
        <v>19</v>
      </c>
      <c r="N754" t="s">
        <v>21</v>
      </c>
      <c r="O754">
        <v>0</v>
      </c>
    </row>
    <row r="755" spans="1:15" x14ac:dyDescent="0.3">
      <c r="A755" t="s">
        <v>800</v>
      </c>
      <c r="B755">
        <v>29</v>
      </c>
      <c r="C755" t="s">
        <v>15</v>
      </c>
      <c r="D755" t="s">
        <v>24</v>
      </c>
      <c r="E755" t="s">
        <v>45</v>
      </c>
      <c r="F755" t="s">
        <v>32</v>
      </c>
      <c r="G755">
        <v>4</v>
      </c>
      <c r="H755">
        <v>9</v>
      </c>
      <c r="I755" t="s">
        <v>38</v>
      </c>
      <c r="J755">
        <v>3.9</v>
      </c>
      <c r="K755" t="s">
        <v>19</v>
      </c>
      <c r="L755">
        <v>69000</v>
      </c>
      <c r="M755" t="s">
        <v>19</v>
      </c>
      <c r="N755" t="s">
        <v>21</v>
      </c>
      <c r="O755">
        <v>0</v>
      </c>
    </row>
    <row r="756" spans="1:15" x14ac:dyDescent="0.3">
      <c r="A756" t="s">
        <v>801</v>
      </c>
      <c r="B756">
        <v>39</v>
      </c>
      <c r="C756" t="s">
        <v>44</v>
      </c>
      <c r="D756" t="s">
        <v>16</v>
      </c>
      <c r="E756" t="s">
        <v>25</v>
      </c>
      <c r="F756" t="s">
        <v>37</v>
      </c>
      <c r="G756">
        <v>8</v>
      </c>
      <c r="H756">
        <v>6</v>
      </c>
      <c r="I756" t="s">
        <v>33</v>
      </c>
      <c r="J756">
        <v>3.4</v>
      </c>
      <c r="K756" t="s">
        <v>48</v>
      </c>
      <c r="L756">
        <v>62000</v>
      </c>
      <c r="M756" t="s">
        <v>19</v>
      </c>
      <c r="N756" t="s">
        <v>21</v>
      </c>
      <c r="O756">
        <v>0</v>
      </c>
    </row>
    <row r="757" spans="1:15" x14ac:dyDescent="0.3">
      <c r="A757" t="s">
        <v>802</v>
      </c>
      <c r="B757">
        <v>36</v>
      </c>
      <c r="C757" t="s">
        <v>44</v>
      </c>
      <c r="D757" t="s">
        <v>24</v>
      </c>
      <c r="E757" t="s">
        <v>36</v>
      </c>
      <c r="F757" t="s">
        <v>37</v>
      </c>
      <c r="G757">
        <v>7</v>
      </c>
      <c r="H757">
        <v>8</v>
      </c>
      <c r="I757" t="s">
        <v>27</v>
      </c>
      <c r="J757">
        <v>3.5</v>
      </c>
      <c r="K757" t="s">
        <v>48</v>
      </c>
      <c r="L757">
        <v>63000</v>
      </c>
      <c r="M757" t="s">
        <v>19</v>
      </c>
      <c r="N757" t="s">
        <v>21</v>
      </c>
      <c r="O757">
        <v>0</v>
      </c>
    </row>
    <row r="758" spans="1:15" x14ac:dyDescent="0.3">
      <c r="A758" t="s">
        <v>803</v>
      </c>
      <c r="B758">
        <v>33</v>
      </c>
      <c r="C758" t="s">
        <v>23</v>
      </c>
      <c r="D758" t="s">
        <v>16</v>
      </c>
      <c r="E758" t="s">
        <v>17</v>
      </c>
      <c r="F758" t="s">
        <v>18</v>
      </c>
      <c r="G758">
        <v>6</v>
      </c>
      <c r="H758">
        <v>9</v>
      </c>
      <c r="I758" t="s">
        <v>38</v>
      </c>
      <c r="J758">
        <v>3.6</v>
      </c>
      <c r="K758" t="s">
        <v>19</v>
      </c>
      <c r="L758">
        <v>64000</v>
      </c>
      <c r="M758" t="s">
        <v>19</v>
      </c>
      <c r="N758" t="s">
        <v>21</v>
      </c>
      <c r="O758">
        <v>0</v>
      </c>
    </row>
    <row r="759" spans="1:15" x14ac:dyDescent="0.3">
      <c r="A759" t="s">
        <v>804</v>
      </c>
      <c r="B759">
        <v>30</v>
      </c>
      <c r="C759" t="s">
        <v>15</v>
      </c>
      <c r="D759" t="s">
        <v>24</v>
      </c>
      <c r="E759" t="s">
        <v>31</v>
      </c>
      <c r="F759" t="s">
        <v>42</v>
      </c>
      <c r="G759">
        <v>5</v>
      </c>
      <c r="H759">
        <v>7</v>
      </c>
      <c r="I759" t="s">
        <v>19</v>
      </c>
      <c r="J759">
        <v>3.7</v>
      </c>
      <c r="K759" t="s">
        <v>19</v>
      </c>
      <c r="L759">
        <v>67000</v>
      </c>
      <c r="M759" t="s">
        <v>19</v>
      </c>
      <c r="N759" t="s">
        <v>21</v>
      </c>
      <c r="O759">
        <v>0</v>
      </c>
    </row>
    <row r="760" spans="1:15" x14ac:dyDescent="0.3">
      <c r="A760" t="s">
        <v>805</v>
      </c>
      <c r="B760">
        <v>42</v>
      </c>
      <c r="C760" t="s">
        <v>35</v>
      </c>
      <c r="D760" t="s">
        <v>16</v>
      </c>
      <c r="E760" t="s">
        <v>41</v>
      </c>
      <c r="F760" t="s">
        <v>42</v>
      </c>
      <c r="G760">
        <v>12</v>
      </c>
      <c r="H760">
        <v>8</v>
      </c>
      <c r="I760" t="s">
        <v>27</v>
      </c>
      <c r="J760">
        <v>3.8</v>
      </c>
      <c r="K760" t="s">
        <v>19</v>
      </c>
      <c r="L760">
        <v>68000</v>
      </c>
      <c r="M760" t="s">
        <v>19</v>
      </c>
      <c r="N760" t="s">
        <v>21</v>
      </c>
      <c r="O760">
        <v>0</v>
      </c>
    </row>
    <row r="761" spans="1:15" x14ac:dyDescent="0.3">
      <c r="A761" t="s">
        <v>806</v>
      </c>
      <c r="B761">
        <v>35</v>
      </c>
      <c r="C761" t="s">
        <v>23</v>
      </c>
      <c r="D761" t="s">
        <v>24</v>
      </c>
      <c r="E761" t="s">
        <v>45</v>
      </c>
      <c r="F761" t="s">
        <v>32</v>
      </c>
      <c r="G761">
        <v>7</v>
      </c>
      <c r="H761">
        <v>6</v>
      </c>
      <c r="I761" t="s">
        <v>33</v>
      </c>
      <c r="J761">
        <v>3.9</v>
      </c>
      <c r="K761" t="s">
        <v>19</v>
      </c>
      <c r="L761">
        <v>69000</v>
      </c>
      <c r="M761" t="s">
        <v>19</v>
      </c>
      <c r="N761" t="s">
        <v>21</v>
      </c>
      <c r="O761">
        <v>0</v>
      </c>
    </row>
    <row r="762" spans="1:15" x14ac:dyDescent="0.3">
      <c r="A762" t="s">
        <v>807</v>
      </c>
      <c r="B762">
        <v>29</v>
      </c>
      <c r="C762" t="s">
        <v>15</v>
      </c>
      <c r="D762" t="s">
        <v>16</v>
      </c>
      <c r="E762" t="s">
        <v>25</v>
      </c>
      <c r="F762" t="s">
        <v>37</v>
      </c>
      <c r="G762">
        <v>3</v>
      </c>
      <c r="H762">
        <v>7</v>
      </c>
      <c r="I762" t="s">
        <v>19</v>
      </c>
      <c r="J762">
        <v>3.5</v>
      </c>
      <c r="K762" t="s">
        <v>48</v>
      </c>
      <c r="L762">
        <v>62000</v>
      </c>
      <c r="M762" t="s">
        <v>19</v>
      </c>
      <c r="N762" t="s">
        <v>21</v>
      </c>
      <c r="O762">
        <v>0</v>
      </c>
    </row>
    <row r="763" spans="1:15" x14ac:dyDescent="0.3">
      <c r="A763" t="s">
        <v>808</v>
      </c>
      <c r="B763">
        <v>33</v>
      </c>
      <c r="C763" t="s">
        <v>23</v>
      </c>
      <c r="D763" t="s">
        <v>24</v>
      </c>
      <c r="E763" t="s">
        <v>36</v>
      </c>
      <c r="F763" t="s">
        <v>37</v>
      </c>
      <c r="G763">
        <v>6</v>
      </c>
      <c r="H763">
        <v>9</v>
      </c>
      <c r="I763" t="s">
        <v>38</v>
      </c>
      <c r="J763">
        <v>3.4</v>
      </c>
      <c r="K763" t="s">
        <v>48</v>
      </c>
      <c r="L763">
        <v>63000</v>
      </c>
      <c r="M763" t="s">
        <v>19</v>
      </c>
      <c r="N763" t="s">
        <v>21</v>
      </c>
      <c r="O763">
        <v>0</v>
      </c>
    </row>
    <row r="764" spans="1:15" x14ac:dyDescent="0.3">
      <c r="A764" t="s">
        <v>809</v>
      </c>
      <c r="B764">
        <v>31</v>
      </c>
      <c r="C764" t="s">
        <v>23</v>
      </c>
      <c r="D764" t="s">
        <v>16</v>
      </c>
      <c r="E764" t="s">
        <v>17</v>
      </c>
      <c r="F764" t="s">
        <v>18</v>
      </c>
      <c r="G764">
        <v>5</v>
      </c>
      <c r="H764">
        <v>8</v>
      </c>
      <c r="I764" t="s">
        <v>27</v>
      </c>
      <c r="J764">
        <v>3.5</v>
      </c>
      <c r="K764" t="s">
        <v>48</v>
      </c>
      <c r="L764">
        <v>64000</v>
      </c>
      <c r="M764" t="s">
        <v>19</v>
      </c>
      <c r="N764" t="s">
        <v>21</v>
      </c>
      <c r="O764">
        <v>0</v>
      </c>
    </row>
    <row r="765" spans="1:15" x14ac:dyDescent="0.3">
      <c r="A765" t="s">
        <v>810</v>
      </c>
      <c r="B765">
        <v>37</v>
      </c>
      <c r="C765" t="s">
        <v>44</v>
      </c>
      <c r="D765" t="s">
        <v>24</v>
      </c>
      <c r="E765" t="s">
        <v>31</v>
      </c>
      <c r="F765" t="s">
        <v>42</v>
      </c>
      <c r="G765">
        <v>6</v>
      </c>
      <c r="H765">
        <v>9</v>
      </c>
      <c r="I765" t="s">
        <v>38</v>
      </c>
      <c r="J765">
        <v>3.7</v>
      </c>
      <c r="K765" t="s">
        <v>19</v>
      </c>
      <c r="L765">
        <v>67000</v>
      </c>
      <c r="M765" t="s">
        <v>19</v>
      </c>
      <c r="N765" t="s">
        <v>21</v>
      </c>
      <c r="O765">
        <v>0</v>
      </c>
    </row>
    <row r="766" spans="1:15" x14ac:dyDescent="0.3">
      <c r="A766" t="s">
        <v>811</v>
      </c>
      <c r="B766">
        <v>28</v>
      </c>
      <c r="C766" t="s">
        <v>15</v>
      </c>
      <c r="D766" t="s">
        <v>16</v>
      </c>
      <c r="E766" t="s">
        <v>41</v>
      </c>
      <c r="F766" t="s">
        <v>42</v>
      </c>
      <c r="G766">
        <v>2</v>
      </c>
      <c r="H766">
        <v>6</v>
      </c>
      <c r="I766" t="s">
        <v>33</v>
      </c>
      <c r="J766">
        <v>3.8</v>
      </c>
      <c r="K766" t="s">
        <v>19</v>
      </c>
      <c r="L766">
        <v>68000</v>
      </c>
      <c r="M766" t="s">
        <v>19</v>
      </c>
      <c r="N766" t="s">
        <v>21</v>
      </c>
      <c r="O766">
        <v>0</v>
      </c>
    </row>
    <row r="767" spans="1:15" x14ac:dyDescent="0.3">
      <c r="A767" t="s">
        <v>812</v>
      </c>
      <c r="B767">
        <v>35</v>
      </c>
      <c r="C767" t="s">
        <v>23</v>
      </c>
      <c r="D767" t="s">
        <v>24</v>
      </c>
      <c r="E767" t="s">
        <v>45</v>
      </c>
      <c r="F767" t="s">
        <v>32</v>
      </c>
      <c r="G767">
        <v>7</v>
      </c>
      <c r="H767">
        <v>8</v>
      </c>
      <c r="I767" t="s">
        <v>27</v>
      </c>
      <c r="J767">
        <v>3.5</v>
      </c>
      <c r="K767" t="s">
        <v>48</v>
      </c>
      <c r="L767">
        <v>69000</v>
      </c>
      <c r="M767" t="s">
        <v>19</v>
      </c>
      <c r="N767" t="s">
        <v>21</v>
      </c>
      <c r="O767">
        <v>0</v>
      </c>
    </row>
    <row r="768" spans="1:15" x14ac:dyDescent="0.3">
      <c r="A768" t="s">
        <v>813</v>
      </c>
      <c r="B768">
        <v>33</v>
      </c>
      <c r="C768" t="s">
        <v>23</v>
      </c>
      <c r="D768" t="s">
        <v>16</v>
      </c>
      <c r="E768" t="s">
        <v>25</v>
      </c>
      <c r="F768" t="s">
        <v>37</v>
      </c>
      <c r="G768">
        <v>6</v>
      </c>
      <c r="H768">
        <v>9</v>
      </c>
      <c r="I768" t="s">
        <v>38</v>
      </c>
      <c r="J768">
        <v>3.4</v>
      </c>
      <c r="K768" t="s">
        <v>48</v>
      </c>
      <c r="L768">
        <v>62000</v>
      </c>
      <c r="M768" t="s">
        <v>19</v>
      </c>
      <c r="N768" t="s">
        <v>21</v>
      </c>
      <c r="O768">
        <v>0</v>
      </c>
    </row>
    <row r="769" spans="1:15" x14ac:dyDescent="0.3">
      <c r="A769" t="s">
        <v>814</v>
      </c>
      <c r="B769">
        <v>30</v>
      </c>
      <c r="C769" t="s">
        <v>15</v>
      </c>
      <c r="D769" t="s">
        <v>24</v>
      </c>
      <c r="E769" t="s">
        <v>36</v>
      </c>
      <c r="F769" t="s">
        <v>37</v>
      </c>
      <c r="G769">
        <v>5</v>
      </c>
      <c r="H769">
        <v>7</v>
      </c>
      <c r="I769" t="s">
        <v>19</v>
      </c>
      <c r="J769">
        <v>3.5</v>
      </c>
      <c r="K769" t="s">
        <v>48</v>
      </c>
      <c r="L769">
        <v>63000</v>
      </c>
      <c r="M769" t="s">
        <v>19</v>
      </c>
      <c r="N769" t="s">
        <v>21</v>
      </c>
      <c r="O769">
        <v>0</v>
      </c>
    </row>
    <row r="770" spans="1:15" x14ac:dyDescent="0.3">
      <c r="A770" t="s">
        <v>815</v>
      </c>
      <c r="B770">
        <v>27</v>
      </c>
      <c r="C770" t="s">
        <v>15</v>
      </c>
      <c r="D770" t="s">
        <v>16</v>
      </c>
      <c r="E770" t="s">
        <v>17</v>
      </c>
      <c r="F770" t="s">
        <v>18</v>
      </c>
      <c r="G770">
        <v>3</v>
      </c>
      <c r="H770">
        <v>6</v>
      </c>
      <c r="I770" t="s">
        <v>33</v>
      </c>
      <c r="J770">
        <v>3.6</v>
      </c>
      <c r="K770" t="s">
        <v>19</v>
      </c>
      <c r="L770">
        <v>64000</v>
      </c>
      <c r="M770" t="s">
        <v>19</v>
      </c>
      <c r="N770" t="s">
        <v>21</v>
      </c>
      <c r="O770">
        <v>0</v>
      </c>
    </row>
    <row r="771" spans="1:15" x14ac:dyDescent="0.3">
      <c r="A771" t="s">
        <v>816</v>
      </c>
      <c r="B771">
        <v>35</v>
      </c>
      <c r="C771" t="s">
        <v>23</v>
      </c>
      <c r="D771" t="s">
        <v>24</v>
      </c>
      <c r="E771" t="s">
        <v>31</v>
      </c>
      <c r="F771" t="s">
        <v>42</v>
      </c>
      <c r="G771">
        <v>8</v>
      </c>
      <c r="H771">
        <v>7</v>
      </c>
      <c r="I771" t="s">
        <v>19</v>
      </c>
      <c r="J771">
        <v>3.7</v>
      </c>
      <c r="K771" t="s">
        <v>19</v>
      </c>
      <c r="L771">
        <v>67000</v>
      </c>
      <c r="M771" t="s">
        <v>19</v>
      </c>
      <c r="N771" t="s">
        <v>21</v>
      </c>
      <c r="O771">
        <v>0</v>
      </c>
    </row>
    <row r="772" spans="1:15" x14ac:dyDescent="0.3">
      <c r="A772" t="s">
        <v>817</v>
      </c>
      <c r="B772">
        <v>32</v>
      </c>
      <c r="C772" t="s">
        <v>23</v>
      </c>
      <c r="D772" t="s">
        <v>16</v>
      </c>
      <c r="E772" t="s">
        <v>41</v>
      </c>
      <c r="F772" t="s">
        <v>42</v>
      </c>
      <c r="G772">
        <v>6</v>
      </c>
      <c r="H772">
        <v>8</v>
      </c>
      <c r="I772" t="s">
        <v>27</v>
      </c>
      <c r="J772">
        <v>3.8</v>
      </c>
      <c r="K772" t="s">
        <v>19</v>
      </c>
      <c r="L772">
        <v>68000</v>
      </c>
      <c r="M772" t="s">
        <v>19</v>
      </c>
      <c r="N772" t="s">
        <v>21</v>
      </c>
      <c r="O772">
        <v>0</v>
      </c>
    </row>
    <row r="773" spans="1:15" x14ac:dyDescent="0.3">
      <c r="A773" t="s">
        <v>818</v>
      </c>
      <c r="B773">
        <v>30</v>
      </c>
      <c r="C773" t="s">
        <v>15</v>
      </c>
      <c r="D773" t="s">
        <v>24</v>
      </c>
      <c r="E773" t="s">
        <v>45</v>
      </c>
      <c r="F773" t="s">
        <v>32</v>
      </c>
      <c r="G773">
        <v>4</v>
      </c>
      <c r="H773">
        <v>9</v>
      </c>
      <c r="I773" t="s">
        <v>38</v>
      </c>
      <c r="J773">
        <v>3.9</v>
      </c>
      <c r="K773" t="s">
        <v>19</v>
      </c>
      <c r="L773">
        <v>69000</v>
      </c>
      <c r="M773" t="s">
        <v>19</v>
      </c>
      <c r="N773" t="s">
        <v>21</v>
      </c>
      <c r="O773">
        <v>0</v>
      </c>
    </row>
    <row r="774" spans="1:15" x14ac:dyDescent="0.3">
      <c r="A774" t="s">
        <v>819</v>
      </c>
      <c r="B774">
        <v>29</v>
      </c>
      <c r="C774" t="s">
        <v>15</v>
      </c>
      <c r="D774" t="s">
        <v>16</v>
      </c>
      <c r="E774" t="s">
        <v>25</v>
      </c>
      <c r="F774" t="s">
        <v>37</v>
      </c>
      <c r="G774">
        <v>3</v>
      </c>
      <c r="H774">
        <v>7</v>
      </c>
      <c r="I774" t="s">
        <v>19</v>
      </c>
      <c r="J774">
        <v>3.5</v>
      </c>
      <c r="K774" t="s">
        <v>48</v>
      </c>
      <c r="L774">
        <v>62000</v>
      </c>
      <c r="M774" t="s">
        <v>19</v>
      </c>
      <c r="N774" t="s">
        <v>21</v>
      </c>
      <c r="O774">
        <v>0</v>
      </c>
    </row>
    <row r="775" spans="1:15" x14ac:dyDescent="0.3">
      <c r="A775" t="s">
        <v>820</v>
      </c>
      <c r="B775">
        <v>41</v>
      </c>
      <c r="C775" t="s">
        <v>35</v>
      </c>
      <c r="D775" t="s">
        <v>24</v>
      </c>
      <c r="E775" t="s">
        <v>36</v>
      </c>
      <c r="F775" t="s">
        <v>37</v>
      </c>
      <c r="G775">
        <v>10</v>
      </c>
      <c r="H775">
        <v>9</v>
      </c>
      <c r="I775" t="s">
        <v>38</v>
      </c>
      <c r="J775">
        <v>3.4</v>
      </c>
      <c r="K775" t="s">
        <v>48</v>
      </c>
      <c r="L775">
        <v>63000</v>
      </c>
      <c r="M775" t="s">
        <v>19</v>
      </c>
      <c r="N775" t="s">
        <v>21</v>
      </c>
      <c r="O775">
        <v>0</v>
      </c>
    </row>
    <row r="776" spans="1:15" x14ac:dyDescent="0.3">
      <c r="A776" t="s">
        <v>821</v>
      </c>
      <c r="B776">
        <v>34</v>
      </c>
      <c r="C776" t="s">
        <v>23</v>
      </c>
      <c r="D776" t="s">
        <v>16</v>
      </c>
      <c r="E776" t="s">
        <v>17</v>
      </c>
      <c r="F776" t="s">
        <v>18</v>
      </c>
      <c r="G776">
        <v>7</v>
      </c>
      <c r="H776">
        <v>8</v>
      </c>
      <c r="I776" t="s">
        <v>27</v>
      </c>
      <c r="J776">
        <v>3.5</v>
      </c>
      <c r="K776" t="s">
        <v>48</v>
      </c>
      <c r="L776">
        <v>64000</v>
      </c>
      <c r="M776" t="s">
        <v>19</v>
      </c>
      <c r="N776" t="s">
        <v>21</v>
      </c>
      <c r="O776">
        <v>0</v>
      </c>
    </row>
    <row r="777" spans="1:15" x14ac:dyDescent="0.3">
      <c r="A777" t="s">
        <v>822</v>
      </c>
      <c r="B777">
        <v>32</v>
      </c>
      <c r="C777" t="s">
        <v>23</v>
      </c>
      <c r="D777" t="s">
        <v>24</v>
      </c>
      <c r="E777" t="s">
        <v>31</v>
      </c>
      <c r="F777" t="s">
        <v>42</v>
      </c>
      <c r="G777">
        <v>5</v>
      </c>
      <c r="H777">
        <v>6</v>
      </c>
      <c r="I777" t="s">
        <v>33</v>
      </c>
      <c r="J777">
        <v>3.6</v>
      </c>
      <c r="K777" t="s">
        <v>19</v>
      </c>
      <c r="L777">
        <v>67000</v>
      </c>
      <c r="M777" t="s">
        <v>19</v>
      </c>
      <c r="N777" t="s">
        <v>21</v>
      </c>
      <c r="O777">
        <v>0</v>
      </c>
    </row>
    <row r="778" spans="1:15" x14ac:dyDescent="0.3">
      <c r="A778" t="s">
        <v>823</v>
      </c>
      <c r="B778">
        <v>38</v>
      </c>
      <c r="C778" t="s">
        <v>44</v>
      </c>
      <c r="D778" t="s">
        <v>16</v>
      </c>
      <c r="E778" t="s">
        <v>41</v>
      </c>
      <c r="F778" t="s">
        <v>42</v>
      </c>
      <c r="G778">
        <v>9</v>
      </c>
      <c r="H778">
        <v>7</v>
      </c>
      <c r="I778" t="s">
        <v>19</v>
      </c>
      <c r="J778">
        <v>3.7</v>
      </c>
      <c r="K778" t="s">
        <v>19</v>
      </c>
      <c r="L778">
        <v>68000</v>
      </c>
      <c r="M778" t="s">
        <v>19</v>
      </c>
      <c r="N778" t="s">
        <v>21</v>
      </c>
      <c r="O778">
        <v>0</v>
      </c>
    </row>
    <row r="779" spans="1:15" x14ac:dyDescent="0.3">
      <c r="A779" t="s">
        <v>824</v>
      </c>
      <c r="B779">
        <v>27</v>
      </c>
      <c r="C779" t="s">
        <v>15</v>
      </c>
      <c r="D779" t="s">
        <v>24</v>
      </c>
      <c r="E779" t="s">
        <v>45</v>
      </c>
      <c r="F779" t="s">
        <v>32</v>
      </c>
      <c r="G779">
        <v>2</v>
      </c>
      <c r="H779">
        <v>8</v>
      </c>
      <c r="I779" t="s">
        <v>27</v>
      </c>
      <c r="J779">
        <v>3.8</v>
      </c>
      <c r="K779" t="s">
        <v>19</v>
      </c>
      <c r="L779">
        <v>69000</v>
      </c>
      <c r="M779" t="s">
        <v>19</v>
      </c>
      <c r="N779" t="s">
        <v>21</v>
      </c>
      <c r="O779">
        <v>0</v>
      </c>
    </row>
    <row r="780" spans="1:15" x14ac:dyDescent="0.3">
      <c r="A780" t="s">
        <v>825</v>
      </c>
      <c r="B780">
        <v>35</v>
      </c>
      <c r="C780" t="s">
        <v>23</v>
      </c>
      <c r="D780" t="s">
        <v>16</v>
      </c>
      <c r="E780" t="s">
        <v>25</v>
      </c>
      <c r="F780" t="s">
        <v>37</v>
      </c>
      <c r="G780">
        <v>6</v>
      </c>
      <c r="H780">
        <v>9</v>
      </c>
      <c r="I780" t="s">
        <v>38</v>
      </c>
      <c r="J780">
        <v>3.9</v>
      </c>
      <c r="K780" t="s">
        <v>19</v>
      </c>
      <c r="L780">
        <v>62000</v>
      </c>
      <c r="M780" t="s">
        <v>19</v>
      </c>
      <c r="N780" t="s">
        <v>21</v>
      </c>
      <c r="O780">
        <v>0</v>
      </c>
    </row>
    <row r="781" spans="1:15" x14ac:dyDescent="0.3">
      <c r="A781" t="s">
        <v>826</v>
      </c>
      <c r="B781">
        <v>33</v>
      </c>
      <c r="C781" t="s">
        <v>23</v>
      </c>
      <c r="D781" t="s">
        <v>24</v>
      </c>
      <c r="E781" t="s">
        <v>36</v>
      </c>
      <c r="F781" t="s">
        <v>37</v>
      </c>
      <c r="G781">
        <v>5</v>
      </c>
      <c r="H781">
        <v>7</v>
      </c>
      <c r="I781" t="s">
        <v>19</v>
      </c>
      <c r="J781">
        <v>3.5</v>
      </c>
      <c r="K781" t="s">
        <v>48</v>
      </c>
      <c r="L781">
        <v>63000</v>
      </c>
      <c r="M781" t="s">
        <v>19</v>
      </c>
      <c r="N781" t="s">
        <v>21</v>
      </c>
      <c r="O781">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628C4-10F7-48EC-8E3C-D0AAEB68E466}">
  <dimension ref="A1"/>
  <sheetViews>
    <sheetView workbookViewId="0">
      <selection activeCell="M21" sqref="M21"/>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BFD8D3-B594-4835-9C3D-CD0EDFA2B8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Satisfaction</vt:lpstr>
      <vt:lpstr>Salary</vt:lpstr>
      <vt:lpstr>KPI</vt:lpstr>
      <vt:lpstr>Attrition</vt:lpstr>
      <vt:lpstr>Sheet4</vt:lpstr>
      <vt:lpstr>Gender</vt:lpstr>
      <vt:lpstr>Dept</vt:lpstr>
      <vt:lpstr>Job Roles</vt:lpstr>
      <vt:lpstr>YOS</vt:lpstr>
      <vt:lpstr>Performance</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Ibekwe Favour</dc:creator>
  <cp:lastModifiedBy>Ibekwe Favour</cp:lastModifiedBy>
  <dcterms:created xsi:type="dcterms:W3CDTF">2026-03-15T23:28:27Z</dcterms:created>
  <dcterms:modified xsi:type="dcterms:W3CDTF">2026-10-04T12:56:28Z</dcterms:modified>
</cp:coreProperties>
</file>